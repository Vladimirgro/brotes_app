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227" codeName="{957460C9-B318-DD5D-5CC9-C049C1E746CC}"/>
  <workbookPr showInkAnnotation="0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EyD\Downloads\"/>
    </mc:Choice>
  </mc:AlternateContent>
  <xr:revisionPtr revIDLastSave="0" documentId="13_ncr:1_{4447D322-992F-4BD4-B223-BFB8087FAC3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NF_INICIAL" sheetId="21" r:id="rId1"/>
    <sheet name="LISTADO_NOM" sheetId="4" r:id="rId2"/>
    <sheet name="ANALISIS_EPIDEM" sheetId="5" r:id="rId3"/>
    <sheet name="INFORME_NARRATIVO" sheetId="6" r:id="rId4"/>
    <sheet name="GEORREFERENCIA" sheetId="7" r:id="rId5"/>
    <sheet name="Base_datos" sheetId="2" state="hidden" r:id="rId6"/>
    <sheet name="VARIABLES" sheetId="8" state="hidden" r:id="rId7"/>
  </sheets>
  <definedNames>
    <definedName name="AÑO">VARIABLES!$N$2:$N$16</definedName>
    <definedName name="_xlnm.Print_Area" localSheetId="0">INF_INICIAL!$A$1:$AV$116</definedName>
    <definedName name="_xlnm.Print_Area" localSheetId="1">LISTADO_NOM!$A$1:$AL$138</definedName>
    <definedName name="CASOS_ANALISIS">OFFSET(ANALISIS_EPIDEM!$A$13,1,1,COUNT(ANALISIS_EPIDEM!$A:$A),1)</definedName>
    <definedName name="DIA">VARIABLES!$L$2:$L$32</definedName>
    <definedName name="DIAS_ANALISIS">OFFSET(ANALISIS_EPIDEM!$A$13,1,0,COUNT(ANALISIS_EPIDEM!$A:$A),1)</definedName>
    <definedName name="Edad">LISTADO_NOM!$E$14:$E$1048576</definedName>
    <definedName name="EDAD_">VARIABLES!$A$2:$A$112</definedName>
    <definedName name="FECHA_">LISTADO_NOM!$AO$14:$AO$3190</definedName>
    <definedName name="FECHA_INIC">VARIABLES!$Z:$Z</definedName>
    <definedName name="FECHA_INICIO">ANALISIS_EPIDEM!$A$14:$A$418</definedName>
    <definedName name="FUENTE">LISTADO_NOM!$AF$14:$AF$1048576</definedName>
    <definedName name="GRAFICO">LISTADO_NOM!$K$14:$AL$1000</definedName>
    <definedName name="INSTITUCION">VARIABLES!$Q$2:$Q$9</definedName>
    <definedName name="JURIS_">VARIABLES!$T$1:$U$85</definedName>
    <definedName name="JURISDICCION">VARIABLES!$O$2:$O$18</definedName>
    <definedName name="LUGAR">VARIABLES!$X$3:$X$11</definedName>
    <definedName name="MES">VARIABLES!$M$2:$M$13</definedName>
    <definedName name="MUNICIPIO">VARIABLES!$P$2:$P$85</definedName>
    <definedName name="NOTIFICACION">LISTADO_NOM!$AL$14:$AL$1048576</definedName>
    <definedName name="NOTIFICACIÓN">VARIABLES!$C$2:$C$33</definedName>
    <definedName name="NOTIFICACION_">LISTADO_NOM!$AK$14:$AK$1048576</definedName>
    <definedName name="ORDENA_">VARIABLES!$AA$14:$AA$1000</definedName>
    <definedName name="seguimient">VARIABLES!$K$2:$K$51</definedName>
    <definedName name="SEGUIMIENTOS">VARIABLES!$C$2:$D$33</definedName>
    <definedName name="Sexo_LN">LISTADO_NOM!$F$14:$F$1048576</definedName>
    <definedName name="SINT_1">LISTADO_NOM!$AA$14:$AA$1048576</definedName>
    <definedName name="SINT_2">LISTADO_NOM!$AB$14:$AB$1048576</definedName>
    <definedName name="SINT_3">LISTADO_NOM!$AC$14:$AC$1048576</definedName>
    <definedName name="SINT_4">LISTADO_NOM!$AD$14:$AD$1048576</definedName>
    <definedName name="SINT_5">LISTADO_NOM!$AE$14:$AE$1048576</definedName>
    <definedName name="SINT_6">LISTADO_NOM!#REF!</definedName>
    <definedName name="SINT_7">LISTADO_NOM!#REF!</definedName>
    <definedName name="SINT_8">LISTADO_NOM!#REF!</definedName>
    <definedName name="TIPO_BROTE">VARIABLES!$W$2:$W$7</definedName>
    <definedName name="VALORES">VARIABLES!$B$2:$B$3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53" i="21" l="1"/>
  <c r="P47" i="21"/>
  <c r="P46" i="21"/>
  <c r="K46" i="21"/>
  <c r="P52" i="21"/>
  <c r="P51" i="21"/>
  <c r="P50" i="21"/>
  <c r="P49" i="21"/>
  <c r="P45" i="21"/>
  <c r="K53" i="21"/>
  <c r="K52" i="21"/>
  <c r="K51" i="21"/>
  <c r="K50" i="21"/>
  <c r="K49" i="21"/>
  <c r="K48" i="21"/>
  <c r="K45" i="21"/>
  <c r="F53" i="21"/>
  <c r="F52" i="21"/>
  <c r="F51" i="21"/>
  <c r="F50" i="21"/>
  <c r="F49" i="21"/>
  <c r="F47" i="21"/>
  <c r="F45" i="21"/>
  <c r="C7" i="4" l="1"/>
  <c r="Z14" i="8" l="1"/>
  <c r="AA14" i="8" s="1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AE14" i="8"/>
  <c r="AE15" i="8"/>
  <c r="AE16" i="8"/>
  <c r="AE17" i="8"/>
  <c r="AE18" i="8"/>
  <c r="AE19" i="8"/>
  <c r="AE20" i="8"/>
  <c r="AE21" i="8"/>
  <c r="AE22" i="8"/>
  <c r="AE23" i="8"/>
  <c r="AE24" i="8"/>
  <c r="AE25" i="8"/>
  <c r="AE26" i="8"/>
  <c r="AE27" i="8"/>
  <c r="AE28" i="8"/>
  <c r="AE29" i="8"/>
  <c r="AE30" i="8"/>
  <c r="AE31" i="8"/>
  <c r="AE32" i="8"/>
  <c r="AE33" i="8"/>
  <c r="AE34" i="8"/>
  <c r="AE35" i="8"/>
  <c r="AE36" i="8"/>
  <c r="AE37" i="8"/>
  <c r="AE38" i="8"/>
  <c r="AE39" i="8"/>
  <c r="AE40" i="8"/>
  <c r="AE41" i="8"/>
  <c r="AE42" i="8"/>
  <c r="AE43" i="8"/>
  <c r="AE44" i="8"/>
  <c r="AE45" i="8"/>
  <c r="AE46" i="8"/>
  <c r="AE47" i="8"/>
  <c r="AE48" i="8"/>
  <c r="AE49" i="8"/>
  <c r="AE50" i="8"/>
  <c r="AE51" i="8"/>
  <c r="AE52" i="8"/>
  <c r="AE53" i="8"/>
  <c r="AE54" i="8"/>
  <c r="AE55" i="8"/>
  <c r="AE56" i="8"/>
  <c r="AE57" i="8"/>
  <c r="AE58" i="8"/>
  <c r="AE59" i="8"/>
  <c r="AE60" i="8"/>
  <c r="AE61" i="8"/>
  <c r="AE62" i="8"/>
  <c r="AE63" i="8"/>
  <c r="AE64" i="8"/>
  <c r="AE65" i="8"/>
  <c r="AE66" i="8"/>
  <c r="AE67" i="8"/>
  <c r="AE68" i="8"/>
  <c r="AE69" i="8"/>
  <c r="AE70" i="8"/>
  <c r="AE71" i="8"/>
  <c r="AE72" i="8"/>
  <c r="AE73" i="8"/>
  <c r="AE74" i="8"/>
  <c r="AE75" i="8"/>
  <c r="AE76" i="8"/>
  <c r="AE77" i="8"/>
  <c r="AE78" i="8"/>
  <c r="AE79" i="8"/>
  <c r="AE80" i="8"/>
  <c r="AE81" i="8"/>
  <c r="AE82" i="8"/>
  <c r="AE83" i="8"/>
  <c r="AE84" i="8"/>
  <c r="AE85" i="8"/>
  <c r="AE86" i="8"/>
  <c r="AE87" i="8"/>
  <c r="AE88" i="8"/>
  <c r="AE89" i="8"/>
  <c r="AE90" i="8"/>
  <c r="AE91" i="8"/>
  <c r="AE92" i="8"/>
  <c r="AE93" i="8"/>
  <c r="AE94" i="8"/>
  <c r="AE95" i="8"/>
  <c r="AE96" i="8"/>
  <c r="AE97" i="8"/>
  <c r="AE98" i="8"/>
  <c r="AE99" i="8"/>
  <c r="AE100" i="8"/>
  <c r="AE101" i="8"/>
  <c r="AE102" i="8"/>
  <c r="AE103" i="8"/>
  <c r="AE104" i="8"/>
  <c r="AE105" i="8"/>
  <c r="AE106" i="8"/>
  <c r="AE107" i="8"/>
  <c r="AE108" i="8"/>
  <c r="AE109" i="8"/>
  <c r="AE110" i="8"/>
  <c r="AE111" i="8"/>
  <c r="AE112" i="8"/>
  <c r="AE113" i="8"/>
  <c r="AE114" i="8"/>
  <c r="AE115" i="8"/>
  <c r="AE116" i="8"/>
  <c r="AE117" i="8"/>
  <c r="AE118" i="8"/>
  <c r="AE119" i="8"/>
  <c r="AE120" i="8"/>
  <c r="AE121" i="8"/>
  <c r="AE122" i="8"/>
  <c r="AE123" i="8"/>
  <c r="AE124" i="8"/>
  <c r="AE125" i="8"/>
  <c r="AE126" i="8"/>
  <c r="AE127" i="8"/>
  <c r="AE128" i="8"/>
  <c r="AE129" i="8"/>
  <c r="AE130" i="8"/>
  <c r="AE131" i="8"/>
  <c r="AE132" i="8"/>
  <c r="AE133" i="8"/>
  <c r="AE134" i="8"/>
  <c r="AE135" i="8"/>
  <c r="AE136" i="8"/>
  <c r="AE137" i="8"/>
  <c r="AE138" i="8"/>
  <c r="AE139" i="8"/>
  <c r="AE140" i="8"/>
  <c r="AE141" i="8"/>
  <c r="AE142" i="8"/>
  <c r="AE143" i="8"/>
  <c r="AE144" i="8"/>
  <c r="AE145" i="8"/>
  <c r="AE146" i="8"/>
  <c r="AE147" i="8"/>
  <c r="AE148" i="8"/>
  <c r="AE149" i="8"/>
  <c r="AE150" i="8"/>
  <c r="AE151" i="8"/>
  <c r="AE152" i="8"/>
  <c r="AE153" i="8"/>
  <c r="AE154" i="8"/>
  <c r="AE155" i="8"/>
  <c r="AE156" i="8"/>
  <c r="AE157" i="8"/>
  <c r="AE158" i="8"/>
  <c r="AE159" i="8"/>
  <c r="AE160" i="8"/>
  <c r="AE161" i="8"/>
  <c r="AE162" i="8"/>
  <c r="AE163" i="8"/>
  <c r="AE164" i="8"/>
  <c r="AE165" i="8"/>
  <c r="AE166" i="8"/>
  <c r="AE167" i="8"/>
  <c r="AE168" i="8"/>
  <c r="AE169" i="8"/>
  <c r="AE170" i="8"/>
  <c r="AE171" i="8"/>
  <c r="AE172" i="8"/>
  <c r="AE173" i="8"/>
  <c r="AE174" i="8"/>
  <c r="AE175" i="8"/>
  <c r="AE176" i="8"/>
  <c r="AE177" i="8"/>
  <c r="AE178" i="8"/>
  <c r="AE179" i="8"/>
  <c r="AE180" i="8"/>
  <c r="AE181" i="8"/>
  <c r="AE182" i="8"/>
  <c r="AE183" i="8"/>
  <c r="AE184" i="8"/>
  <c r="AE185" i="8"/>
  <c r="AE186" i="8"/>
  <c r="AE187" i="8"/>
  <c r="AE188" i="8"/>
  <c r="AE189" i="8"/>
  <c r="AE190" i="8"/>
  <c r="AE191" i="8"/>
  <c r="AE192" i="8"/>
  <c r="AE193" i="8"/>
  <c r="AE194" i="8"/>
  <c r="AE195" i="8"/>
  <c r="AE196" i="8"/>
  <c r="AE197" i="8"/>
  <c r="AE198" i="8"/>
  <c r="AE199" i="8"/>
  <c r="AE200" i="8"/>
  <c r="AE201" i="8"/>
  <c r="AE202" i="8"/>
  <c r="AE203" i="8"/>
  <c r="AE204" i="8"/>
  <c r="AE205" i="8"/>
  <c r="AE206" i="8"/>
  <c r="AE207" i="8"/>
  <c r="AE208" i="8"/>
  <c r="AE209" i="8"/>
  <c r="AE210" i="8"/>
  <c r="AE211" i="8"/>
  <c r="AE212" i="8"/>
  <c r="AE213" i="8"/>
  <c r="AE214" i="8"/>
  <c r="AE215" i="8"/>
  <c r="AE216" i="8"/>
  <c r="AE217" i="8"/>
  <c r="AE218" i="8"/>
  <c r="AE219" i="8"/>
  <c r="AE220" i="8"/>
  <c r="AE221" i="8"/>
  <c r="AE222" i="8"/>
  <c r="AE223" i="8"/>
  <c r="AE224" i="8"/>
  <c r="AE225" i="8"/>
  <c r="AE226" i="8"/>
  <c r="AE227" i="8"/>
  <c r="AE228" i="8"/>
  <c r="AE229" i="8"/>
  <c r="AE230" i="8"/>
  <c r="AE231" i="8"/>
  <c r="AE232" i="8"/>
  <c r="AE233" i="8"/>
  <c r="AE234" i="8"/>
  <c r="AE235" i="8"/>
  <c r="AE236" i="8"/>
  <c r="AE237" i="8"/>
  <c r="AE238" i="8"/>
  <c r="AE239" i="8"/>
  <c r="AE240" i="8"/>
  <c r="AE241" i="8"/>
  <c r="AE242" i="8"/>
  <c r="AE243" i="8"/>
  <c r="AE244" i="8"/>
  <c r="AE245" i="8"/>
  <c r="AE246" i="8"/>
  <c r="AE247" i="8"/>
  <c r="AE248" i="8"/>
  <c r="AE249" i="8"/>
  <c r="AE250" i="8"/>
  <c r="AE251" i="8"/>
  <c r="AE252" i="8"/>
  <c r="AE253" i="8"/>
  <c r="AE254" i="8"/>
  <c r="AE255" i="8"/>
  <c r="AE256" i="8"/>
  <c r="AE257" i="8"/>
  <c r="AE258" i="8"/>
  <c r="AE259" i="8"/>
  <c r="AE260" i="8"/>
  <c r="AE261" i="8"/>
  <c r="AE262" i="8"/>
  <c r="AE263" i="8"/>
  <c r="AE264" i="8"/>
  <c r="AE265" i="8"/>
  <c r="AE266" i="8"/>
  <c r="AE267" i="8"/>
  <c r="AE268" i="8"/>
  <c r="AE269" i="8"/>
  <c r="AE270" i="8"/>
  <c r="AE271" i="8"/>
  <c r="AE272" i="8"/>
  <c r="AE273" i="8"/>
  <c r="AE274" i="8"/>
  <c r="AE275" i="8"/>
  <c r="AE276" i="8"/>
  <c r="AE277" i="8"/>
  <c r="AE278" i="8"/>
  <c r="AE279" i="8"/>
  <c r="AE280" i="8"/>
  <c r="AE281" i="8"/>
  <c r="AE282" i="8"/>
  <c r="AE283" i="8"/>
  <c r="AE284" i="8"/>
  <c r="AE285" i="8"/>
  <c r="AE286" i="8"/>
  <c r="AE287" i="8"/>
  <c r="AE288" i="8"/>
  <c r="AE289" i="8"/>
  <c r="AE290" i="8"/>
  <c r="AE291" i="8"/>
  <c r="AE292" i="8"/>
  <c r="AE293" i="8"/>
  <c r="AE294" i="8"/>
  <c r="AE295" i="8"/>
  <c r="AE296" i="8"/>
  <c r="AE297" i="8"/>
  <c r="AE298" i="8"/>
  <c r="AE299" i="8"/>
  <c r="AE300" i="8"/>
  <c r="AE301" i="8"/>
  <c r="AE302" i="8"/>
  <c r="AE303" i="8"/>
  <c r="AE304" i="8"/>
  <c r="AE305" i="8"/>
  <c r="AE306" i="8"/>
  <c r="AE307" i="8"/>
  <c r="AE308" i="8"/>
  <c r="AE309" i="8"/>
  <c r="AE310" i="8"/>
  <c r="AE311" i="8"/>
  <c r="AE312" i="8"/>
  <c r="AE313" i="8"/>
  <c r="AE314" i="8"/>
  <c r="AE315" i="8"/>
  <c r="AE316" i="8"/>
  <c r="AE317" i="8"/>
  <c r="AE318" i="8"/>
  <c r="AE319" i="8"/>
  <c r="AE320" i="8"/>
  <c r="AE321" i="8"/>
  <c r="AE322" i="8"/>
  <c r="AE323" i="8"/>
  <c r="AE324" i="8"/>
  <c r="AE325" i="8"/>
  <c r="AE326" i="8"/>
  <c r="AE327" i="8"/>
  <c r="AE328" i="8"/>
  <c r="AE329" i="8"/>
  <c r="AE330" i="8"/>
  <c r="AE331" i="8"/>
  <c r="AE332" i="8"/>
  <c r="AE333" i="8"/>
  <c r="AE334" i="8"/>
  <c r="AE335" i="8"/>
  <c r="AE336" i="8"/>
  <c r="AE337" i="8"/>
  <c r="AE338" i="8"/>
  <c r="AE339" i="8"/>
  <c r="AE340" i="8"/>
  <c r="AE341" i="8"/>
  <c r="AE342" i="8"/>
  <c r="AE343" i="8"/>
  <c r="AE344" i="8"/>
  <c r="AE345" i="8"/>
  <c r="AE346" i="8"/>
  <c r="AE347" i="8"/>
  <c r="AE348" i="8"/>
  <c r="AE349" i="8"/>
  <c r="AE350" i="8"/>
  <c r="AE351" i="8"/>
  <c r="AE352" i="8"/>
  <c r="AE353" i="8"/>
  <c r="AE354" i="8"/>
  <c r="AE355" i="8"/>
  <c r="AE356" i="8"/>
  <c r="AE357" i="8"/>
  <c r="AE358" i="8"/>
  <c r="AE359" i="8"/>
  <c r="AE360" i="8"/>
  <c r="AE361" i="8"/>
  <c r="AE362" i="8"/>
  <c r="AE363" i="8"/>
  <c r="AE364" i="8"/>
  <c r="AE365" i="8"/>
  <c r="AE366" i="8"/>
  <c r="AE367" i="8"/>
  <c r="AE368" i="8"/>
  <c r="AE369" i="8"/>
  <c r="AE370" i="8"/>
  <c r="AE371" i="8"/>
  <c r="AE372" i="8"/>
  <c r="AE373" i="8"/>
  <c r="AE374" i="8"/>
  <c r="AE375" i="8"/>
  <c r="AE376" i="8"/>
  <c r="AE377" i="8"/>
  <c r="AE378" i="8"/>
  <c r="AE379" i="8"/>
  <c r="AE380" i="8"/>
  <c r="AE381" i="8"/>
  <c r="AE382" i="8"/>
  <c r="AE383" i="8"/>
  <c r="AE384" i="8"/>
  <c r="AE385" i="8"/>
  <c r="AE386" i="8"/>
  <c r="AE387" i="8"/>
  <c r="AE388" i="8"/>
  <c r="AE389" i="8"/>
  <c r="AE390" i="8"/>
  <c r="AE391" i="8"/>
  <c r="AE392" i="8"/>
  <c r="AE393" i="8"/>
  <c r="AE394" i="8"/>
  <c r="AE395" i="8"/>
  <c r="AE396" i="8"/>
  <c r="AE397" i="8"/>
  <c r="AE398" i="8"/>
  <c r="AE399" i="8"/>
  <c r="AE400" i="8"/>
  <c r="AE401" i="8"/>
  <c r="AE402" i="8"/>
  <c r="AE403" i="8"/>
  <c r="AE404" i="8"/>
  <c r="AE405" i="8"/>
  <c r="AE406" i="8"/>
  <c r="AE407" i="8"/>
  <c r="AE408" i="8"/>
  <c r="AE409" i="8"/>
  <c r="AE410" i="8"/>
  <c r="AE411" i="8"/>
  <c r="AE412" i="8"/>
  <c r="AE413" i="8"/>
  <c r="AE414" i="8"/>
  <c r="AE415" i="8"/>
  <c r="AE416" i="8"/>
  <c r="AE417" i="8"/>
  <c r="AE418" i="8"/>
  <c r="AE419" i="8"/>
  <c r="AE420" i="8"/>
  <c r="AE421" i="8"/>
  <c r="AE422" i="8"/>
  <c r="AE423" i="8"/>
  <c r="AE424" i="8"/>
  <c r="AE425" i="8"/>
  <c r="AE426" i="8"/>
  <c r="AE427" i="8"/>
  <c r="AE428" i="8"/>
  <c r="AE429" i="8"/>
  <c r="AE430" i="8"/>
  <c r="AE431" i="8"/>
  <c r="AE432" i="8"/>
  <c r="AE433" i="8"/>
  <c r="AE434" i="8"/>
  <c r="AE435" i="8"/>
  <c r="AE436" i="8"/>
  <c r="AE437" i="8"/>
  <c r="AE438" i="8"/>
  <c r="AE439" i="8"/>
  <c r="AE440" i="8"/>
  <c r="AE441" i="8"/>
  <c r="AE442" i="8"/>
  <c r="AE443" i="8"/>
  <c r="AE444" i="8"/>
  <c r="AE445" i="8"/>
  <c r="AE446" i="8"/>
  <c r="AE447" i="8"/>
  <c r="AE448" i="8"/>
  <c r="AE449" i="8"/>
  <c r="AE450" i="8"/>
  <c r="AE451" i="8"/>
  <c r="AE452" i="8"/>
  <c r="AE453" i="8"/>
  <c r="AE454" i="8"/>
  <c r="AE455" i="8"/>
  <c r="AE456" i="8"/>
  <c r="AE457" i="8"/>
  <c r="AE458" i="8"/>
  <c r="AE459" i="8"/>
  <c r="AE460" i="8"/>
  <c r="AE461" i="8"/>
  <c r="AE462" i="8"/>
  <c r="AE463" i="8"/>
  <c r="AE464" i="8"/>
  <c r="AE465" i="8"/>
  <c r="AE466" i="8"/>
  <c r="AE467" i="8"/>
  <c r="AE468" i="8"/>
  <c r="AE469" i="8"/>
  <c r="AE470" i="8"/>
  <c r="AE471" i="8"/>
  <c r="AE472" i="8"/>
  <c r="AE473" i="8"/>
  <c r="AE474" i="8"/>
  <c r="AE475" i="8"/>
  <c r="AE476" i="8"/>
  <c r="AE477" i="8"/>
  <c r="AE478" i="8"/>
  <c r="AE479" i="8"/>
  <c r="AE480" i="8"/>
  <c r="AE481" i="8"/>
  <c r="AE482" i="8"/>
  <c r="AE483" i="8"/>
  <c r="AE484" i="8"/>
  <c r="AE485" i="8"/>
  <c r="AE486" i="8"/>
  <c r="AE487" i="8"/>
  <c r="AE488" i="8"/>
  <c r="AE489" i="8"/>
  <c r="AE490" i="8"/>
  <c r="AE491" i="8"/>
  <c r="AE492" i="8"/>
  <c r="AE493" i="8"/>
  <c r="AE494" i="8"/>
  <c r="AE495" i="8"/>
  <c r="AE496" i="8"/>
  <c r="AE497" i="8"/>
  <c r="AE498" i="8"/>
  <c r="AE499" i="8"/>
  <c r="AE500" i="8"/>
  <c r="AL17" i="4"/>
  <c r="AL18" i="4"/>
  <c r="AL19" i="4"/>
  <c r="AL20" i="4"/>
  <c r="AL21" i="4"/>
  <c r="AL22" i="4"/>
  <c r="AL23" i="4"/>
  <c r="AL24" i="4"/>
  <c r="AL25" i="4"/>
  <c r="AL26" i="4"/>
  <c r="AL27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51" i="4"/>
  <c r="AL52" i="4"/>
  <c r="AL53" i="4"/>
  <c r="AL54" i="4"/>
  <c r="AL55" i="4"/>
  <c r="AL56" i="4"/>
  <c r="AL57" i="4"/>
  <c r="AL58" i="4"/>
  <c r="AL59" i="4"/>
  <c r="AL60" i="4"/>
  <c r="AL61" i="4"/>
  <c r="AL62" i="4"/>
  <c r="AL63" i="4"/>
  <c r="AL64" i="4"/>
  <c r="AL65" i="4"/>
  <c r="AL66" i="4"/>
  <c r="AL67" i="4"/>
  <c r="AL68" i="4"/>
  <c r="AL69" i="4"/>
  <c r="AL70" i="4"/>
  <c r="AL71" i="4"/>
  <c r="AL72" i="4"/>
  <c r="AL73" i="4"/>
  <c r="AL74" i="4"/>
  <c r="AL75" i="4"/>
  <c r="AL76" i="4"/>
  <c r="AL77" i="4"/>
  <c r="AL78" i="4"/>
  <c r="AL79" i="4"/>
  <c r="AL80" i="4"/>
  <c r="AL81" i="4"/>
  <c r="AL82" i="4"/>
  <c r="AL83" i="4"/>
  <c r="AL84" i="4"/>
  <c r="AL85" i="4"/>
  <c r="AL86" i="4"/>
  <c r="AL87" i="4"/>
  <c r="AL88" i="4"/>
  <c r="AL89" i="4"/>
  <c r="AL90" i="4"/>
  <c r="AL91" i="4"/>
  <c r="AL92" i="4"/>
  <c r="AL93" i="4"/>
  <c r="AL94" i="4"/>
  <c r="AL95" i="4"/>
  <c r="AL96" i="4"/>
  <c r="AL97" i="4"/>
  <c r="AL98" i="4"/>
  <c r="AL99" i="4"/>
  <c r="AL100" i="4"/>
  <c r="AL101" i="4"/>
  <c r="AL102" i="4"/>
  <c r="AL103" i="4"/>
  <c r="AL104" i="4"/>
  <c r="AL105" i="4"/>
  <c r="AL106" i="4"/>
  <c r="AL107" i="4"/>
  <c r="AL108" i="4"/>
  <c r="AL109" i="4"/>
  <c r="AL110" i="4"/>
  <c r="AL111" i="4"/>
  <c r="AL112" i="4"/>
  <c r="AL113" i="4"/>
  <c r="AL114" i="4"/>
  <c r="AL115" i="4"/>
  <c r="AL116" i="4"/>
  <c r="AL117" i="4"/>
  <c r="AL118" i="4"/>
  <c r="AL119" i="4"/>
  <c r="AL120" i="4"/>
  <c r="AL121" i="4"/>
  <c r="AL122" i="4"/>
  <c r="AL123" i="4"/>
  <c r="AL124" i="4"/>
  <c r="AL125" i="4"/>
  <c r="AL126" i="4"/>
  <c r="AL127" i="4"/>
  <c r="AL128" i="4"/>
  <c r="AL129" i="4"/>
  <c r="AL130" i="4"/>
  <c r="AL131" i="4"/>
  <c r="AL132" i="4"/>
  <c r="AL133" i="4"/>
  <c r="AL134" i="4"/>
  <c r="AL135" i="4"/>
  <c r="AL136" i="4"/>
  <c r="AL137" i="4"/>
  <c r="AL138" i="4"/>
  <c r="AL139" i="4"/>
  <c r="AL140" i="4"/>
  <c r="AL141" i="4"/>
  <c r="AL142" i="4"/>
  <c r="AL143" i="4"/>
  <c r="AL144" i="4"/>
  <c r="AL145" i="4"/>
  <c r="AL146" i="4"/>
  <c r="AL147" i="4"/>
  <c r="AL148" i="4"/>
  <c r="AL149" i="4"/>
  <c r="AL150" i="4"/>
  <c r="AL151" i="4"/>
  <c r="AL152" i="4"/>
  <c r="AL153" i="4"/>
  <c r="AL154" i="4"/>
  <c r="AL155" i="4"/>
  <c r="AL156" i="4"/>
  <c r="AL157" i="4"/>
  <c r="AL158" i="4"/>
  <c r="AL159" i="4"/>
  <c r="AL160" i="4"/>
  <c r="AL161" i="4"/>
  <c r="AL162" i="4"/>
  <c r="AL163" i="4"/>
  <c r="AL164" i="4"/>
  <c r="AL165" i="4"/>
  <c r="AL166" i="4"/>
  <c r="AL167" i="4"/>
  <c r="AL168" i="4"/>
  <c r="AL169" i="4"/>
  <c r="AL170" i="4"/>
  <c r="AL171" i="4"/>
  <c r="AL172" i="4"/>
  <c r="AL173" i="4"/>
  <c r="AL174" i="4"/>
  <c r="AL175" i="4"/>
  <c r="AL176" i="4"/>
  <c r="AL177" i="4"/>
  <c r="AL178" i="4"/>
  <c r="AL179" i="4"/>
  <c r="AL180" i="4"/>
  <c r="AL181" i="4"/>
  <c r="AL182" i="4"/>
  <c r="AL183" i="4"/>
  <c r="AL184" i="4"/>
  <c r="AL185" i="4"/>
  <c r="AL186" i="4"/>
  <c r="AL187" i="4"/>
  <c r="AL188" i="4"/>
  <c r="AL189" i="4"/>
  <c r="AL190" i="4"/>
  <c r="AL191" i="4"/>
  <c r="AL192" i="4"/>
  <c r="AL193" i="4"/>
  <c r="AL194" i="4"/>
  <c r="AL195" i="4"/>
  <c r="AL196" i="4"/>
  <c r="AL197" i="4"/>
  <c r="AL198" i="4"/>
  <c r="AL199" i="4"/>
  <c r="AL200" i="4"/>
  <c r="AL201" i="4"/>
  <c r="AL202" i="4"/>
  <c r="AL203" i="4"/>
  <c r="AL204" i="4"/>
  <c r="AL205" i="4"/>
  <c r="AL206" i="4"/>
  <c r="AL207" i="4"/>
  <c r="AL208" i="4"/>
  <c r="AL209" i="4"/>
  <c r="AL210" i="4"/>
  <c r="AL211" i="4"/>
  <c r="AL212" i="4"/>
  <c r="AL213" i="4"/>
  <c r="AL214" i="4"/>
  <c r="AL215" i="4"/>
  <c r="AL216" i="4"/>
  <c r="AL217" i="4"/>
  <c r="AL218" i="4"/>
  <c r="AL219" i="4"/>
  <c r="AL220" i="4"/>
  <c r="AL221" i="4"/>
  <c r="AL222" i="4"/>
  <c r="AL223" i="4"/>
  <c r="AL224" i="4"/>
  <c r="AL225" i="4"/>
  <c r="AL226" i="4"/>
  <c r="AL227" i="4"/>
  <c r="AL228" i="4"/>
  <c r="AL229" i="4"/>
  <c r="AL230" i="4"/>
  <c r="AL231" i="4"/>
  <c r="AL232" i="4"/>
  <c r="AL233" i="4"/>
  <c r="AL234" i="4"/>
  <c r="AL235" i="4"/>
  <c r="AL236" i="4"/>
  <c r="AL237" i="4"/>
  <c r="AL238" i="4"/>
  <c r="AL239" i="4"/>
  <c r="AL240" i="4"/>
  <c r="AL241" i="4"/>
  <c r="AL242" i="4"/>
  <c r="AL243" i="4"/>
  <c r="AL244" i="4"/>
  <c r="AL245" i="4"/>
  <c r="AL246" i="4"/>
  <c r="AL247" i="4"/>
  <c r="AL248" i="4"/>
  <c r="AL249" i="4"/>
  <c r="AL250" i="4"/>
  <c r="AL251" i="4"/>
  <c r="AL252" i="4"/>
  <c r="AL253" i="4"/>
  <c r="AL254" i="4"/>
  <c r="AL255" i="4"/>
  <c r="AL256" i="4"/>
  <c r="AL257" i="4"/>
  <c r="AL258" i="4"/>
  <c r="AL259" i="4"/>
  <c r="AL260" i="4"/>
  <c r="AL261" i="4"/>
  <c r="AL262" i="4"/>
  <c r="AL263" i="4"/>
  <c r="AL264" i="4"/>
  <c r="AL265" i="4"/>
  <c r="AL266" i="4"/>
  <c r="AL267" i="4"/>
  <c r="AL268" i="4"/>
  <c r="AL269" i="4"/>
  <c r="AL270" i="4"/>
  <c r="AL271" i="4"/>
  <c r="AL272" i="4"/>
  <c r="AL273" i="4"/>
  <c r="AL274" i="4"/>
  <c r="AL275" i="4"/>
  <c r="AL276" i="4"/>
  <c r="AL277" i="4"/>
  <c r="AL278" i="4"/>
  <c r="AL279" i="4"/>
  <c r="AL280" i="4"/>
  <c r="AL281" i="4"/>
  <c r="AL282" i="4"/>
  <c r="AL283" i="4"/>
  <c r="AL284" i="4"/>
  <c r="AL285" i="4"/>
  <c r="AL286" i="4"/>
  <c r="AL287" i="4"/>
  <c r="AL288" i="4"/>
  <c r="AL289" i="4"/>
  <c r="AL290" i="4"/>
  <c r="AL291" i="4"/>
  <c r="AL292" i="4"/>
  <c r="AL293" i="4"/>
  <c r="AL294" i="4"/>
  <c r="AL295" i="4"/>
  <c r="AL296" i="4"/>
  <c r="AL297" i="4"/>
  <c r="AL298" i="4"/>
  <c r="AL299" i="4"/>
  <c r="AL300" i="4"/>
  <c r="AL301" i="4"/>
  <c r="AL302" i="4"/>
  <c r="AL303" i="4"/>
  <c r="AL304" i="4"/>
  <c r="AL305" i="4"/>
  <c r="AL306" i="4"/>
  <c r="AL307" i="4"/>
  <c r="AL308" i="4"/>
  <c r="AL309" i="4"/>
  <c r="AL310" i="4"/>
  <c r="AL311" i="4"/>
  <c r="AL312" i="4"/>
  <c r="AL313" i="4"/>
  <c r="AL314" i="4"/>
  <c r="AL315" i="4"/>
  <c r="AL316" i="4"/>
  <c r="AL317" i="4"/>
  <c r="AL318" i="4"/>
  <c r="AL319" i="4"/>
  <c r="AL320" i="4"/>
  <c r="AL321" i="4"/>
  <c r="AL322" i="4"/>
  <c r="AL323" i="4"/>
  <c r="AL324" i="4"/>
  <c r="AL325" i="4"/>
  <c r="AL326" i="4"/>
  <c r="AL327" i="4"/>
  <c r="AL328" i="4"/>
  <c r="AL329" i="4"/>
  <c r="AL330" i="4"/>
  <c r="AL331" i="4"/>
  <c r="AL332" i="4"/>
  <c r="AL333" i="4"/>
  <c r="AL334" i="4"/>
  <c r="AL335" i="4"/>
  <c r="AL336" i="4"/>
  <c r="AL337" i="4"/>
  <c r="AL338" i="4"/>
  <c r="AL339" i="4"/>
  <c r="AL340" i="4"/>
  <c r="AL341" i="4"/>
  <c r="AL342" i="4"/>
  <c r="AL343" i="4"/>
  <c r="AL344" i="4"/>
  <c r="AL345" i="4"/>
  <c r="AL346" i="4"/>
  <c r="AL347" i="4"/>
  <c r="AL348" i="4"/>
  <c r="AL349" i="4"/>
  <c r="AL350" i="4"/>
  <c r="AL351" i="4"/>
  <c r="AL352" i="4"/>
  <c r="AL353" i="4"/>
  <c r="AL354" i="4"/>
  <c r="AL355" i="4"/>
  <c r="AL356" i="4"/>
  <c r="AL357" i="4"/>
  <c r="AL358" i="4"/>
  <c r="AL359" i="4"/>
  <c r="AL360" i="4"/>
  <c r="AL361" i="4"/>
  <c r="AL362" i="4"/>
  <c r="AL363" i="4"/>
  <c r="AL364" i="4"/>
  <c r="AL365" i="4"/>
  <c r="AL366" i="4"/>
  <c r="AL367" i="4"/>
  <c r="AL368" i="4"/>
  <c r="AL369" i="4"/>
  <c r="AL370" i="4"/>
  <c r="AL371" i="4"/>
  <c r="AL372" i="4"/>
  <c r="AL373" i="4"/>
  <c r="AL374" i="4"/>
  <c r="AL375" i="4"/>
  <c r="AL376" i="4"/>
  <c r="AL377" i="4"/>
  <c r="AL378" i="4"/>
  <c r="AL379" i="4"/>
  <c r="AL380" i="4"/>
  <c r="AL381" i="4"/>
  <c r="AL382" i="4"/>
  <c r="AL383" i="4"/>
  <c r="AL384" i="4"/>
  <c r="AL385" i="4"/>
  <c r="AL386" i="4"/>
  <c r="AL387" i="4"/>
  <c r="AL388" i="4"/>
  <c r="AL389" i="4"/>
  <c r="AL390" i="4"/>
  <c r="AL391" i="4"/>
  <c r="AL392" i="4"/>
  <c r="AL393" i="4"/>
  <c r="AL394" i="4"/>
  <c r="AL395" i="4"/>
  <c r="AL396" i="4"/>
  <c r="AL397" i="4"/>
  <c r="AL398" i="4"/>
  <c r="AL399" i="4"/>
  <c r="AL400" i="4"/>
  <c r="AL401" i="4"/>
  <c r="AL402" i="4"/>
  <c r="AL403" i="4"/>
  <c r="AL404" i="4"/>
  <c r="AL405" i="4"/>
  <c r="AL406" i="4"/>
  <c r="AL407" i="4"/>
  <c r="AL408" i="4"/>
  <c r="AL409" i="4"/>
  <c r="AL410" i="4"/>
  <c r="AL411" i="4"/>
  <c r="AL412" i="4"/>
  <c r="AL413" i="4"/>
  <c r="AL414" i="4"/>
  <c r="AL415" i="4"/>
  <c r="AL416" i="4"/>
  <c r="AL417" i="4"/>
  <c r="AL418" i="4"/>
  <c r="AL419" i="4"/>
  <c r="AL420" i="4"/>
  <c r="AL421" i="4"/>
  <c r="AL422" i="4"/>
  <c r="AL423" i="4"/>
  <c r="AL424" i="4"/>
  <c r="AL425" i="4"/>
  <c r="AL426" i="4"/>
  <c r="AL427" i="4"/>
  <c r="AL428" i="4"/>
  <c r="AL429" i="4"/>
  <c r="AL430" i="4"/>
  <c r="AL431" i="4"/>
  <c r="AL432" i="4"/>
  <c r="AL433" i="4"/>
  <c r="AL434" i="4"/>
  <c r="AL435" i="4"/>
  <c r="AL436" i="4"/>
  <c r="AL437" i="4"/>
  <c r="AL438" i="4"/>
  <c r="AL439" i="4"/>
  <c r="AL440" i="4"/>
  <c r="AL441" i="4"/>
  <c r="AL442" i="4"/>
  <c r="AL443" i="4"/>
  <c r="AL444" i="4"/>
  <c r="AL445" i="4"/>
  <c r="AL446" i="4"/>
  <c r="AL447" i="4"/>
  <c r="AL448" i="4"/>
  <c r="AL449" i="4"/>
  <c r="AL450" i="4"/>
  <c r="AL451" i="4"/>
  <c r="AL452" i="4"/>
  <c r="AL453" i="4"/>
  <c r="AL454" i="4"/>
  <c r="AL455" i="4"/>
  <c r="AL456" i="4"/>
  <c r="AL457" i="4"/>
  <c r="AL458" i="4"/>
  <c r="AL459" i="4"/>
  <c r="AL460" i="4"/>
  <c r="AL461" i="4"/>
  <c r="AL462" i="4"/>
  <c r="AL463" i="4"/>
  <c r="AL464" i="4"/>
  <c r="AL465" i="4"/>
  <c r="AL466" i="4"/>
  <c r="AL467" i="4"/>
  <c r="AL468" i="4"/>
  <c r="AL469" i="4"/>
  <c r="AL470" i="4"/>
  <c r="AL471" i="4"/>
  <c r="AL472" i="4"/>
  <c r="AL473" i="4"/>
  <c r="AL474" i="4"/>
  <c r="AL475" i="4"/>
  <c r="AL476" i="4"/>
  <c r="AL477" i="4"/>
  <c r="AL478" i="4"/>
  <c r="AL479" i="4"/>
  <c r="AL480" i="4"/>
  <c r="AL481" i="4"/>
  <c r="AL482" i="4"/>
  <c r="AL483" i="4"/>
  <c r="AL484" i="4"/>
  <c r="AL485" i="4"/>
  <c r="AL486" i="4"/>
  <c r="AL487" i="4"/>
  <c r="AL488" i="4"/>
  <c r="AL489" i="4"/>
  <c r="AL490" i="4"/>
  <c r="AL491" i="4"/>
  <c r="AL492" i="4"/>
  <c r="AL493" i="4"/>
  <c r="AL494" i="4"/>
  <c r="AL495" i="4"/>
  <c r="AL496" i="4"/>
  <c r="AL497" i="4"/>
  <c r="AL498" i="4"/>
  <c r="AL499" i="4"/>
  <c r="AL500" i="4"/>
  <c r="AA15" i="8" l="1"/>
  <c r="AA16" i="8" l="1"/>
  <c r="D3" i="2"/>
  <c r="AA17" i="8" l="1"/>
  <c r="BF3" i="2"/>
  <c r="BY3" i="2"/>
  <c r="BU3" i="2"/>
  <c r="BQ3" i="2"/>
  <c r="BM3" i="2"/>
  <c r="BI3" i="2"/>
  <c r="BE3" i="2"/>
  <c r="BX3" i="2"/>
  <c r="BT3" i="2"/>
  <c r="BP3" i="2"/>
  <c r="BL3" i="2"/>
  <c r="BH3" i="2"/>
  <c r="BD3" i="2"/>
  <c r="BB3" i="2"/>
  <c r="BW3" i="2"/>
  <c r="BS3" i="2"/>
  <c r="BO3" i="2"/>
  <c r="BK3" i="2"/>
  <c r="BG3" i="2"/>
  <c r="BC3" i="2"/>
  <c r="BZ3" i="2"/>
  <c r="BV3" i="2"/>
  <c r="BR3" i="2"/>
  <c r="BN3" i="2"/>
  <c r="BJ3" i="2"/>
  <c r="A3" i="2"/>
  <c r="AA18" i="8" l="1"/>
  <c r="AB18" i="8" s="1"/>
  <c r="C3" i="2"/>
  <c r="AA19" i="8" l="1"/>
  <c r="AB19" i="8" s="1"/>
  <c r="AC3" i="2"/>
  <c r="X3" i="2"/>
  <c r="W3" i="2"/>
  <c r="H3" i="2"/>
  <c r="N3" i="2"/>
  <c r="I3" i="2"/>
  <c r="AE3" i="2"/>
  <c r="AG3" i="2"/>
  <c r="AH3" i="2"/>
  <c r="L3" i="2"/>
  <c r="AB3" i="2"/>
  <c r="AI3" i="2"/>
  <c r="AJ3" i="2"/>
  <c r="AA20" i="8" l="1"/>
  <c r="AB20" i="8" s="1"/>
  <c r="AF3" i="2"/>
  <c r="AD3" i="2"/>
  <c r="M3" i="2"/>
  <c r="K3" i="2"/>
  <c r="J3" i="2"/>
  <c r="R3" i="2"/>
  <c r="Y3" i="2"/>
  <c r="S3" i="2"/>
  <c r="O3" i="2"/>
  <c r="Z3" i="2"/>
  <c r="P3" i="2"/>
  <c r="T3" i="2"/>
  <c r="AA3" i="2"/>
  <c r="Q3" i="2"/>
  <c r="U3" i="2"/>
  <c r="AA21" i="8" l="1"/>
  <c r="E3" i="2"/>
  <c r="BA3" i="2"/>
  <c r="AA22" i="8" l="1"/>
  <c r="AB22" i="8" s="1"/>
  <c r="AB21" i="8"/>
  <c r="AS3" i="2"/>
  <c r="AU3" i="2"/>
  <c r="AV3" i="2"/>
  <c r="AM3" i="2"/>
  <c r="AT3" i="2"/>
  <c r="AX3" i="2"/>
  <c r="AY3" i="2"/>
  <c r="AN3" i="2"/>
  <c r="AO3" i="2"/>
  <c r="V3" i="2"/>
  <c r="AP3" i="2"/>
  <c r="AW3" i="2"/>
  <c r="AR3" i="2"/>
  <c r="AL3" i="2"/>
  <c r="AQ3" i="2"/>
  <c r="G3" i="2"/>
  <c r="F3" i="2"/>
  <c r="AA23" i="8" l="1"/>
  <c r="AB23" i="8" s="1"/>
  <c r="AK3" i="2"/>
  <c r="AZ3" i="2"/>
  <c r="AA24" i="8" l="1"/>
  <c r="AA25" i="8" l="1"/>
  <c r="AB25" i="8" s="1"/>
  <c r="AB24" i="8"/>
  <c r="AA26" i="8" l="1"/>
  <c r="AB26" i="8" s="1"/>
  <c r="AA27" i="8" l="1"/>
  <c r="AB27" i="8" l="1"/>
  <c r="AA28" i="8"/>
  <c r="AA29" i="8" l="1"/>
  <c r="AA30" i="8" s="1"/>
  <c r="AB28" i="8"/>
  <c r="AB30" i="8" l="1"/>
  <c r="AB29" i="8"/>
  <c r="AA31" i="8"/>
  <c r="AB31" i="8" s="1"/>
  <c r="AA32" i="8" l="1"/>
  <c r="AB32" i="8" s="1"/>
  <c r="AA33" i="8" l="1"/>
  <c r="AA34" i="8" l="1"/>
  <c r="AB34" i="8" s="1"/>
  <c r="AB33" i="8"/>
  <c r="AA35" i="8" l="1"/>
  <c r="AB35" i="8" l="1"/>
  <c r="AA36" i="8"/>
  <c r="AB36" i="8" s="1"/>
  <c r="AA37" i="8" l="1"/>
  <c r="AB37" i="8" l="1"/>
  <c r="AA38" i="8"/>
  <c r="AB38" i="8" s="1"/>
  <c r="AA39" i="8" l="1"/>
  <c r="AB39" i="8" l="1"/>
  <c r="AA40" i="8"/>
  <c r="AB40" i="8" s="1"/>
  <c r="AA41" i="8" l="1"/>
  <c r="AB41" i="8" l="1"/>
  <c r="AA42" i="8"/>
  <c r="AB42" i="8" s="1"/>
  <c r="AA43" i="8" l="1"/>
  <c r="AB43" i="8" l="1"/>
  <c r="AA44" i="8"/>
  <c r="AB44" i="8" s="1"/>
  <c r="AA45" i="8" l="1"/>
  <c r="AB45" i="8" l="1"/>
  <c r="AA46" i="8"/>
  <c r="AB46" i="8" s="1"/>
  <c r="AA47" i="8" l="1"/>
  <c r="AB47" i="8" s="1"/>
  <c r="AA48" i="8" l="1"/>
  <c r="AB48" i="8" s="1"/>
  <c r="AA49" i="8" l="1"/>
  <c r="AB49" i="8" s="1"/>
  <c r="AA50" i="8" l="1"/>
  <c r="AB50" i="8" s="1"/>
  <c r="AA51" i="8" l="1"/>
  <c r="AB51" i="8" s="1"/>
  <c r="AA52" i="8" l="1"/>
  <c r="AB52" i="8" s="1"/>
  <c r="AA53" i="8" l="1"/>
  <c r="AB53" i="8" s="1"/>
  <c r="AA54" i="8" l="1"/>
  <c r="AB54" i="8" s="1"/>
  <c r="AA55" i="8" l="1"/>
  <c r="AB55" i="8" s="1"/>
  <c r="AA56" i="8" l="1"/>
  <c r="AB56" i="8" l="1"/>
  <c r="AA57" i="8"/>
  <c r="AB57" i="8" s="1"/>
  <c r="AA58" i="8" l="1"/>
  <c r="AB58" i="8" l="1"/>
  <c r="AA59" i="8"/>
  <c r="AB59" i="8" s="1"/>
  <c r="AA60" i="8" l="1"/>
  <c r="AB60" i="8" l="1"/>
  <c r="AA61" i="8"/>
  <c r="AB61" i="8" s="1"/>
  <c r="AA62" i="8" l="1"/>
  <c r="AB62" i="8" l="1"/>
  <c r="AA63" i="8"/>
  <c r="AB63" i="8" s="1"/>
  <c r="AA64" i="8" l="1"/>
  <c r="AB64" i="8" l="1"/>
  <c r="AA65" i="8"/>
  <c r="AB65" i="8" s="1"/>
  <c r="AA66" i="8" l="1"/>
  <c r="AB66" i="8" l="1"/>
  <c r="AA67" i="8"/>
  <c r="AB67" i="8" s="1"/>
  <c r="AA68" i="8" l="1"/>
  <c r="AB68" i="8" l="1"/>
  <c r="AA69" i="8"/>
  <c r="AB69" i="8" s="1"/>
  <c r="AA70" i="8" l="1"/>
  <c r="AB70" i="8" l="1"/>
  <c r="AA71" i="8"/>
  <c r="AB71" i="8" s="1"/>
  <c r="AA72" i="8" l="1"/>
  <c r="AB72" i="8" l="1"/>
  <c r="AA73" i="8"/>
  <c r="AB73" i="8" s="1"/>
  <c r="AA74" i="8" l="1"/>
  <c r="AB74" i="8" l="1"/>
  <c r="AA75" i="8"/>
  <c r="AB75" i="8" s="1"/>
  <c r="AA76" i="8" l="1"/>
  <c r="AB76" i="8" l="1"/>
  <c r="AA77" i="8"/>
  <c r="AB77" i="8" s="1"/>
  <c r="AA78" i="8" l="1"/>
  <c r="AB78" i="8" l="1"/>
  <c r="AA79" i="8"/>
  <c r="AB79" i="8" s="1"/>
  <c r="AA80" i="8" l="1"/>
  <c r="AB80" i="8" l="1"/>
  <c r="AA81" i="8"/>
  <c r="AB81" i="8" s="1"/>
  <c r="AA82" i="8" l="1"/>
  <c r="AB82" i="8" l="1"/>
  <c r="AA83" i="8"/>
  <c r="AB83" i="8" s="1"/>
  <c r="AA84" i="8" l="1"/>
  <c r="AB84" i="8" l="1"/>
  <c r="AA85" i="8"/>
  <c r="AB85" i="8" s="1"/>
  <c r="AA86" i="8" l="1"/>
  <c r="AB86" i="8" s="1"/>
  <c r="AA87" i="8" l="1"/>
  <c r="AB87" i="8" l="1"/>
  <c r="AA88" i="8"/>
  <c r="AB88" i="8" s="1"/>
  <c r="AA89" i="8" l="1"/>
  <c r="AB89" i="8" l="1"/>
  <c r="AA90" i="8"/>
  <c r="AB90" i="8" s="1"/>
  <c r="AA91" i="8" l="1"/>
  <c r="AB91" i="8" l="1"/>
  <c r="AA92" i="8"/>
  <c r="AB92" i="8" s="1"/>
  <c r="AA93" i="8" l="1"/>
  <c r="AB93" i="8" l="1"/>
  <c r="AA94" i="8"/>
  <c r="AB94" i="8" s="1"/>
  <c r="AA95" i="8" l="1"/>
  <c r="AB95" i="8" l="1"/>
  <c r="AA96" i="8"/>
  <c r="AB96" i="8" s="1"/>
  <c r="AA97" i="8" l="1"/>
  <c r="AB97" i="8" l="1"/>
  <c r="AA98" i="8"/>
  <c r="AB98" i="8" s="1"/>
  <c r="AA99" i="8" l="1"/>
  <c r="AB99" i="8" l="1"/>
  <c r="AA100" i="8"/>
  <c r="AB100" i="8" s="1"/>
  <c r="AA101" i="8" l="1"/>
  <c r="AB101" i="8" l="1"/>
  <c r="AA102" i="8"/>
  <c r="AB102" i="8" s="1"/>
  <c r="AA103" i="8" l="1"/>
  <c r="AB103" i="8" l="1"/>
  <c r="AA104" i="8"/>
  <c r="AB104" i="8" s="1"/>
  <c r="AA105" i="8" l="1"/>
  <c r="AB105" i="8" l="1"/>
  <c r="AA106" i="8"/>
  <c r="AB106" i="8" s="1"/>
  <c r="AA107" i="8" l="1"/>
  <c r="AB107" i="8" s="1"/>
  <c r="AA108" i="8" l="1"/>
  <c r="AB108" i="8" s="1"/>
  <c r="AA109" i="8" l="1"/>
  <c r="AB109" i="8" s="1"/>
  <c r="AA110" i="8" l="1"/>
  <c r="AB110" i="8" s="1"/>
  <c r="AA111" i="8" l="1"/>
  <c r="AB111" i="8" s="1"/>
  <c r="AA112" i="8" l="1"/>
  <c r="AB112" i="8" s="1"/>
  <c r="AA113" i="8" l="1"/>
  <c r="AB113" i="8" s="1"/>
  <c r="AA114" i="8" l="1"/>
  <c r="AB114" i="8" s="1"/>
  <c r="AA115" i="8" l="1"/>
  <c r="AB115" i="8" s="1"/>
  <c r="AA116" i="8" l="1"/>
  <c r="AB116" i="8" s="1"/>
  <c r="AA117" i="8" l="1"/>
  <c r="AB117" i="8" s="1"/>
  <c r="AA118" i="8" l="1"/>
  <c r="AB118" i="8" s="1"/>
  <c r="AA119" i="8" l="1"/>
  <c r="AB119" i="8" s="1"/>
  <c r="AA120" i="8" l="1"/>
  <c r="AB120" i="8" s="1"/>
  <c r="AA121" i="8" l="1"/>
  <c r="AB121" i="8" s="1"/>
  <c r="AA122" i="8" l="1"/>
  <c r="AB122" i="8" l="1"/>
  <c r="AA123" i="8"/>
  <c r="AB123" i="8" s="1"/>
  <c r="AA124" i="8" l="1"/>
  <c r="AB124" i="8" l="1"/>
  <c r="AA125" i="8"/>
  <c r="AB125" i="8" s="1"/>
  <c r="AA126" i="8" l="1"/>
  <c r="AB126" i="8" s="1"/>
  <c r="AA127" i="8" l="1"/>
  <c r="AB127" i="8" s="1"/>
  <c r="AA128" i="8" l="1"/>
  <c r="AB128" i="8" s="1"/>
  <c r="AA129" i="8" l="1"/>
  <c r="AB129" i="8" s="1"/>
  <c r="AA130" i="8" l="1"/>
  <c r="AB130" i="8" s="1"/>
  <c r="AA131" i="8" l="1"/>
  <c r="AB131" i="8" s="1"/>
  <c r="AA132" i="8" l="1"/>
  <c r="AB132" i="8" s="1"/>
  <c r="AA133" i="8" l="1"/>
  <c r="AB133" i="8" s="1"/>
  <c r="AA134" i="8" l="1"/>
  <c r="AB134" i="8" s="1"/>
  <c r="AA135" i="8" l="1"/>
  <c r="AB135" i="8" s="1"/>
  <c r="AA136" i="8" l="1"/>
  <c r="AB136" i="8" s="1"/>
  <c r="AA137" i="8" l="1"/>
  <c r="AB137" i="8" s="1"/>
  <c r="AA138" i="8" l="1"/>
  <c r="AB138" i="8" s="1"/>
  <c r="AA139" i="8" l="1"/>
  <c r="AB139" i="8" s="1"/>
  <c r="AA140" i="8" l="1"/>
  <c r="AB140" i="8" s="1"/>
  <c r="AA141" i="8" l="1"/>
  <c r="AB141" i="8" s="1"/>
  <c r="AA142" i="8" l="1"/>
  <c r="AB142" i="8" s="1"/>
  <c r="AA143" i="8" l="1"/>
  <c r="AB143" i="8" s="1"/>
  <c r="AA144" i="8" l="1"/>
  <c r="AB144" i="8" s="1"/>
  <c r="AA145" i="8" l="1"/>
  <c r="AB145" i="8" s="1"/>
  <c r="AA146" i="8" l="1"/>
  <c r="AB146" i="8" s="1"/>
  <c r="AA147" i="8" l="1"/>
  <c r="AB147" i="8" s="1"/>
  <c r="AA148" i="8" l="1"/>
  <c r="AB148" i="8" s="1"/>
  <c r="AA149" i="8" l="1"/>
  <c r="AB149" i="8" s="1"/>
  <c r="AA150" i="8" l="1"/>
  <c r="AB150" i="8" s="1"/>
  <c r="AA151" i="8" l="1"/>
  <c r="AB151" i="8" s="1"/>
  <c r="AA152" i="8" l="1"/>
  <c r="AB152" i="8" s="1"/>
  <c r="AA153" i="8" l="1"/>
  <c r="AB153" i="8" s="1"/>
  <c r="AA154" i="8" l="1"/>
  <c r="AB154" i="8" s="1"/>
  <c r="AA155" i="8" l="1"/>
  <c r="AB155" i="8" s="1"/>
  <c r="AA156" i="8" l="1"/>
  <c r="AB156" i="8" s="1"/>
  <c r="AA157" i="8" l="1"/>
  <c r="AB157" i="8" s="1"/>
  <c r="AA158" i="8" l="1"/>
  <c r="AB158" i="8" s="1"/>
  <c r="AA159" i="8" l="1"/>
  <c r="AB159" i="8" s="1"/>
  <c r="AA160" i="8" l="1"/>
  <c r="AB160" i="8" s="1"/>
  <c r="AA161" i="8" l="1"/>
  <c r="AB161" i="8" s="1"/>
  <c r="AA162" i="8" l="1"/>
  <c r="AB162" i="8" s="1"/>
  <c r="AA163" i="8" l="1"/>
  <c r="AB163" i="8" s="1"/>
  <c r="AA164" i="8" l="1"/>
  <c r="AB164" i="8" s="1"/>
  <c r="AA165" i="8" l="1"/>
  <c r="AB165" i="8" s="1"/>
  <c r="AA166" i="8" l="1"/>
  <c r="AB166" i="8" s="1"/>
  <c r="AA167" i="8" l="1"/>
  <c r="AB167" i="8" s="1"/>
  <c r="AA168" i="8" l="1"/>
  <c r="AB168" i="8" s="1"/>
  <c r="AA169" i="8" l="1"/>
  <c r="AB169" i="8" s="1"/>
  <c r="AA170" i="8" l="1"/>
  <c r="AB170" i="8" s="1"/>
  <c r="AA171" i="8" l="1"/>
  <c r="AB171" i="8" s="1"/>
  <c r="AA172" i="8" l="1"/>
  <c r="AB172" i="8" s="1"/>
  <c r="AA173" i="8" l="1"/>
  <c r="AB173" i="8" s="1"/>
  <c r="AA174" i="8" l="1"/>
  <c r="AB174" i="8" s="1"/>
  <c r="AA175" i="8" l="1"/>
  <c r="AB175" i="8" s="1"/>
  <c r="AA176" i="8" l="1"/>
  <c r="AB176" i="8" s="1"/>
  <c r="AA177" i="8" l="1"/>
  <c r="AB177" i="8" s="1"/>
  <c r="AA178" i="8" l="1"/>
  <c r="AB178" i="8" s="1"/>
  <c r="AA179" i="8" l="1"/>
  <c r="AB179" i="8" s="1"/>
  <c r="AA180" i="8" l="1"/>
  <c r="AB180" i="8" s="1"/>
  <c r="AA181" i="8" l="1"/>
  <c r="AB181" i="8" s="1"/>
  <c r="AA182" i="8" l="1"/>
  <c r="AB182" i="8" s="1"/>
  <c r="AA183" i="8" l="1"/>
  <c r="AB183" i="8" s="1"/>
  <c r="AA184" i="8" l="1"/>
  <c r="AB184" i="8" s="1"/>
  <c r="AA185" i="8" l="1"/>
  <c r="AB185" i="8" s="1"/>
  <c r="AA186" i="8" l="1"/>
  <c r="AB186" i="8" s="1"/>
  <c r="AA187" i="8" l="1"/>
  <c r="AB187" i="8" s="1"/>
  <c r="AA188" i="8" l="1"/>
  <c r="AB188" i="8" s="1"/>
  <c r="AA189" i="8" l="1"/>
  <c r="AB189" i="8" s="1"/>
  <c r="AA190" i="8" l="1"/>
  <c r="AB190" i="8" s="1"/>
  <c r="AA191" i="8" l="1"/>
  <c r="AB191" i="8" s="1"/>
  <c r="AA192" i="8" l="1"/>
  <c r="AB192" i="8" s="1"/>
  <c r="AA193" i="8" l="1"/>
  <c r="AB193" i="8" s="1"/>
  <c r="AA194" i="8" l="1"/>
  <c r="AB194" i="8" s="1"/>
  <c r="AA195" i="8" l="1"/>
  <c r="AB195" i="8" s="1"/>
  <c r="AA196" i="8" l="1"/>
  <c r="AB196" i="8" s="1"/>
  <c r="AA197" i="8" l="1"/>
  <c r="AB197" i="8" s="1"/>
  <c r="AA198" i="8" l="1"/>
  <c r="AB198" i="8" s="1"/>
  <c r="AA199" i="8" l="1"/>
  <c r="AB199" i="8" s="1"/>
  <c r="AA200" i="8" l="1"/>
  <c r="AB200" i="8" s="1"/>
  <c r="AA201" i="8" l="1"/>
  <c r="AB201" i="8" s="1"/>
  <c r="AA202" i="8" l="1"/>
  <c r="AB202" i="8" s="1"/>
  <c r="AA203" i="8" l="1"/>
  <c r="AB203" i="8" s="1"/>
  <c r="AA204" i="8" l="1"/>
  <c r="AB204" i="8" s="1"/>
  <c r="AA205" i="8" l="1"/>
  <c r="AB205" i="8" s="1"/>
  <c r="AA206" i="8" l="1"/>
  <c r="AB206" i="8" s="1"/>
  <c r="AA207" i="8" l="1"/>
  <c r="AB207" i="8" s="1"/>
  <c r="AA208" i="8" l="1"/>
  <c r="AB208" i="8" s="1"/>
  <c r="AA209" i="8" l="1"/>
  <c r="AB209" i="8" s="1"/>
  <c r="AA210" i="8" l="1"/>
  <c r="AB210" i="8" s="1"/>
  <c r="AA211" i="8" l="1"/>
  <c r="AB211" i="8" s="1"/>
  <c r="AA212" i="8" l="1"/>
  <c r="AB212" i="8" s="1"/>
  <c r="AA213" i="8" l="1"/>
  <c r="AB213" i="8" s="1"/>
  <c r="AA214" i="8" l="1"/>
  <c r="AB214" i="8" s="1"/>
  <c r="AA215" i="8" l="1"/>
  <c r="AB215" i="8" s="1"/>
  <c r="AA216" i="8" l="1"/>
  <c r="AB216" i="8" s="1"/>
  <c r="AA217" i="8" l="1"/>
  <c r="AB217" i="8" s="1"/>
  <c r="AA218" i="8" l="1"/>
  <c r="AB218" i="8" s="1"/>
  <c r="AA219" i="8" l="1"/>
  <c r="AB219" i="8" s="1"/>
  <c r="AA220" i="8" l="1"/>
  <c r="AB220" i="8" s="1"/>
  <c r="AA221" i="8" l="1"/>
  <c r="AB221" i="8" s="1"/>
  <c r="AA222" i="8" l="1"/>
  <c r="AB222" i="8" s="1"/>
  <c r="AA223" i="8" l="1"/>
  <c r="AB223" i="8" s="1"/>
  <c r="AA224" i="8" l="1"/>
  <c r="AB224" i="8" s="1"/>
  <c r="AA225" i="8" l="1"/>
  <c r="AB225" i="8" s="1"/>
  <c r="AA226" i="8" l="1"/>
  <c r="AB226" i="8" s="1"/>
  <c r="AA227" i="8" l="1"/>
  <c r="AB227" i="8" s="1"/>
  <c r="AA228" i="8" l="1"/>
  <c r="AB228" i="8" s="1"/>
  <c r="AA229" i="8" l="1"/>
  <c r="AB229" i="8" s="1"/>
  <c r="AA230" i="8" l="1"/>
  <c r="AB230" i="8" s="1"/>
  <c r="AA231" i="8" l="1"/>
  <c r="AB231" i="8" s="1"/>
  <c r="AA232" i="8" l="1"/>
  <c r="AB232" i="8" s="1"/>
  <c r="AA233" i="8" l="1"/>
  <c r="AB233" i="8" s="1"/>
  <c r="AA234" i="8" l="1"/>
  <c r="AB234" i="8" s="1"/>
  <c r="AA235" i="8" l="1"/>
  <c r="AB235" i="8" s="1"/>
  <c r="AA236" i="8" l="1"/>
  <c r="AB236" i="8" s="1"/>
  <c r="AA237" i="8" l="1"/>
  <c r="AB237" i="8" s="1"/>
  <c r="AA238" i="8" l="1"/>
  <c r="AB238" i="8" s="1"/>
  <c r="AA239" i="8" l="1"/>
  <c r="AB239" i="8" s="1"/>
  <c r="AA240" i="8" l="1"/>
  <c r="AB240" i="8" s="1"/>
  <c r="AA241" i="8" l="1"/>
  <c r="AB241" i="8" s="1"/>
  <c r="AA242" i="8" l="1"/>
  <c r="AB242" i="8" s="1"/>
  <c r="AA243" i="8" l="1"/>
  <c r="AB243" i="8" s="1"/>
  <c r="AA244" i="8" l="1"/>
  <c r="AB244" i="8" s="1"/>
  <c r="AA245" i="8" l="1"/>
  <c r="AB245" i="8" s="1"/>
  <c r="AA246" i="8" l="1"/>
  <c r="AB246" i="8" s="1"/>
  <c r="AA247" i="8" l="1"/>
  <c r="AB247" i="8" s="1"/>
  <c r="AA248" i="8" l="1"/>
  <c r="AB248" i="8" s="1"/>
  <c r="AA249" i="8" l="1"/>
  <c r="AB249" i="8" s="1"/>
  <c r="AA250" i="8" l="1"/>
  <c r="AB250" i="8" s="1"/>
  <c r="AA251" i="8" l="1"/>
  <c r="AB251" i="8" s="1"/>
  <c r="AA252" i="8" l="1"/>
  <c r="AB252" i="8" s="1"/>
  <c r="AA253" i="8" l="1"/>
  <c r="AB253" i="8" s="1"/>
  <c r="AA254" i="8" l="1"/>
  <c r="AB254" i="8" s="1"/>
  <c r="AA255" i="8" l="1"/>
  <c r="AB255" i="8" s="1"/>
  <c r="AA256" i="8" l="1"/>
  <c r="AB256" i="8" s="1"/>
  <c r="AA257" i="8" l="1"/>
  <c r="AB257" i="8" s="1"/>
  <c r="AA258" i="8" l="1"/>
  <c r="AB258" i="8" s="1"/>
  <c r="AA259" i="8" l="1"/>
  <c r="AB259" i="8" s="1"/>
  <c r="AA260" i="8" l="1"/>
  <c r="AB260" i="8" s="1"/>
  <c r="AA261" i="8" l="1"/>
  <c r="AB261" i="8" s="1"/>
  <c r="AA262" i="8" l="1"/>
  <c r="AB262" i="8" s="1"/>
  <c r="AA263" i="8" l="1"/>
  <c r="AB263" i="8" s="1"/>
  <c r="AA264" i="8" l="1"/>
  <c r="AB264" i="8" s="1"/>
  <c r="AA265" i="8" l="1"/>
  <c r="AB265" i="8" s="1"/>
  <c r="AA266" i="8" l="1"/>
  <c r="AB266" i="8" s="1"/>
  <c r="AA267" i="8" l="1"/>
  <c r="AB267" i="8" s="1"/>
  <c r="AA268" i="8" l="1"/>
  <c r="AB268" i="8" s="1"/>
  <c r="AA269" i="8" l="1"/>
  <c r="AB269" i="8" s="1"/>
  <c r="AA270" i="8" l="1"/>
  <c r="AB270" i="8" s="1"/>
  <c r="AA271" i="8" l="1"/>
  <c r="AB271" i="8" s="1"/>
  <c r="AA272" i="8" l="1"/>
  <c r="AB272" i="8" s="1"/>
  <c r="AA273" i="8" l="1"/>
  <c r="AB273" i="8" s="1"/>
  <c r="AA274" i="8" l="1"/>
  <c r="AB274" i="8" s="1"/>
  <c r="AA275" i="8" l="1"/>
  <c r="AB275" i="8" s="1"/>
  <c r="AA276" i="8" l="1"/>
  <c r="AB276" i="8" s="1"/>
  <c r="AA277" i="8" l="1"/>
  <c r="AB277" i="8" s="1"/>
  <c r="AA278" i="8" l="1"/>
  <c r="AB278" i="8" s="1"/>
  <c r="AA279" i="8" l="1"/>
  <c r="AB279" i="8" s="1"/>
  <c r="AA280" i="8" l="1"/>
  <c r="AB280" i="8" s="1"/>
  <c r="AA281" i="8" l="1"/>
  <c r="AB281" i="8" s="1"/>
  <c r="AA282" i="8" l="1"/>
  <c r="AB282" i="8" s="1"/>
  <c r="AA283" i="8" l="1"/>
  <c r="AB283" i="8" s="1"/>
  <c r="AA284" i="8" l="1"/>
  <c r="AB284" i="8" s="1"/>
  <c r="AA285" i="8" l="1"/>
  <c r="AB285" i="8" s="1"/>
  <c r="AA286" i="8" l="1"/>
  <c r="AB286" i="8" s="1"/>
  <c r="AA287" i="8" l="1"/>
  <c r="AB287" i="8" s="1"/>
  <c r="AA288" i="8" l="1"/>
  <c r="AB288" i="8" s="1"/>
  <c r="AA289" i="8" l="1"/>
  <c r="AB289" i="8" s="1"/>
  <c r="AA290" i="8" l="1"/>
  <c r="AB290" i="8" s="1"/>
  <c r="AA291" i="8" l="1"/>
  <c r="AB291" i="8" s="1"/>
  <c r="AA292" i="8" l="1"/>
  <c r="AB292" i="8" s="1"/>
  <c r="AA293" i="8" l="1"/>
  <c r="AB293" i="8" s="1"/>
  <c r="AA294" i="8" l="1"/>
  <c r="AB294" i="8" s="1"/>
  <c r="AA295" i="8" l="1"/>
  <c r="AB295" i="8" s="1"/>
  <c r="AA296" i="8" l="1"/>
  <c r="AB296" i="8" s="1"/>
  <c r="AA297" i="8" l="1"/>
  <c r="AB297" i="8" s="1"/>
  <c r="AA298" i="8" l="1"/>
  <c r="AB298" i="8" s="1"/>
  <c r="AA299" i="8" l="1"/>
  <c r="AB299" i="8" s="1"/>
  <c r="AA300" i="8" l="1"/>
  <c r="AB300" i="8" s="1"/>
  <c r="AA301" i="8" l="1"/>
  <c r="AB301" i="8" s="1"/>
  <c r="AA302" i="8" l="1"/>
  <c r="AB302" i="8" s="1"/>
  <c r="AA303" i="8" l="1"/>
  <c r="AB303" i="8" s="1"/>
  <c r="AA304" i="8" l="1"/>
  <c r="AB304" i="8" s="1"/>
  <c r="AA305" i="8" l="1"/>
  <c r="AB305" i="8" s="1"/>
  <c r="AA306" i="8" l="1"/>
  <c r="AB306" i="8" s="1"/>
  <c r="AA307" i="8" l="1"/>
  <c r="AB307" i="8" s="1"/>
  <c r="AA308" i="8" l="1"/>
  <c r="AB308" i="8" s="1"/>
  <c r="AA309" i="8" l="1"/>
  <c r="AB309" i="8" s="1"/>
  <c r="AA310" i="8" l="1"/>
  <c r="AB310" i="8" s="1"/>
  <c r="AA311" i="8" l="1"/>
  <c r="AB311" i="8" s="1"/>
  <c r="AA312" i="8" l="1"/>
  <c r="AB312" i="8" s="1"/>
  <c r="AA313" i="8" l="1"/>
  <c r="AB313" i="8" s="1"/>
  <c r="AA314" i="8" l="1"/>
  <c r="AB314" i="8" s="1"/>
  <c r="AA315" i="8" l="1"/>
  <c r="AB315" i="8" s="1"/>
  <c r="AA316" i="8" l="1"/>
  <c r="AB316" i="8" s="1"/>
  <c r="AA317" i="8" l="1"/>
  <c r="AB317" i="8" s="1"/>
  <c r="AA318" i="8" l="1"/>
  <c r="AB318" i="8" s="1"/>
  <c r="AA319" i="8" l="1"/>
  <c r="AB319" i="8" s="1"/>
  <c r="AA320" i="8" l="1"/>
  <c r="AB320" i="8" s="1"/>
  <c r="AA321" i="8" l="1"/>
  <c r="AB321" i="8" s="1"/>
  <c r="AA322" i="8" l="1"/>
  <c r="AB322" i="8" s="1"/>
  <c r="AA323" i="8" l="1"/>
  <c r="AB323" i="8" s="1"/>
  <c r="AA324" i="8" l="1"/>
  <c r="AB324" i="8" s="1"/>
  <c r="AA325" i="8" l="1"/>
  <c r="AB325" i="8" s="1"/>
  <c r="AA326" i="8" l="1"/>
  <c r="AB326" i="8" s="1"/>
  <c r="AA327" i="8" l="1"/>
  <c r="AB327" i="8" s="1"/>
  <c r="AA328" i="8" l="1"/>
  <c r="AB328" i="8" s="1"/>
  <c r="AA329" i="8" l="1"/>
  <c r="AB329" i="8" s="1"/>
  <c r="AA330" i="8" l="1"/>
  <c r="AB330" i="8" s="1"/>
  <c r="AA331" i="8" l="1"/>
  <c r="AB331" i="8" s="1"/>
  <c r="AA332" i="8" l="1"/>
  <c r="AB332" i="8" s="1"/>
  <c r="AA333" i="8" l="1"/>
  <c r="AB333" i="8" s="1"/>
  <c r="AA334" i="8" l="1"/>
  <c r="AB334" i="8" s="1"/>
  <c r="AA335" i="8" l="1"/>
  <c r="AB335" i="8" s="1"/>
  <c r="AA336" i="8" l="1"/>
  <c r="AB336" i="8" s="1"/>
  <c r="AA337" i="8" l="1"/>
  <c r="AB337" i="8" s="1"/>
  <c r="AA338" i="8" l="1"/>
  <c r="AB338" i="8" s="1"/>
  <c r="AA339" i="8" l="1"/>
  <c r="AB339" i="8" s="1"/>
  <c r="AA340" i="8" l="1"/>
  <c r="AB340" i="8" s="1"/>
  <c r="AA341" i="8" l="1"/>
  <c r="AB341" i="8" s="1"/>
  <c r="AA342" i="8" l="1"/>
  <c r="AB342" i="8" s="1"/>
  <c r="AA343" i="8" l="1"/>
  <c r="AB343" i="8" s="1"/>
  <c r="AA344" i="8" l="1"/>
  <c r="AB344" i="8" s="1"/>
  <c r="AA345" i="8" l="1"/>
  <c r="AB345" i="8" s="1"/>
  <c r="AA346" i="8" l="1"/>
  <c r="AB346" i="8" s="1"/>
  <c r="AA347" i="8" l="1"/>
  <c r="AB347" i="8" s="1"/>
  <c r="AA348" i="8" l="1"/>
  <c r="AB348" i="8" s="1"/>
  <c r="AA349" i="8" l="1"/>
  <c r="AB349" i="8" s="1"/>
  <c r="AA350" i="8" l="1"/>
  <c r="AB350" i="8" s="1"/>
  <c r="AA351" i="8" l="1"/>
  <c r="AB351" i="8" s="1"/>
  <c r="AA352" i="8" l="1"/>
  <c r="AB352" i="8" s="1"/>
  <c r="AA353" i="8" l="1"/>
  <c r="AB353" i="8" s="1"/>
  <c r="AA354" i="8" l="1"/>
  <c r="AB354" i="8" s="1"/>
  <c r="AA355" i="8" l="1"/>
  <c r="AB355" i="8" s="1"/>
  <c r="AA356" i="8" l="1"/>
  <c r="AB356" i="8" s="1"/>
  <c r="AA357" i="8" l="1"/>
  <c r="AB357" i="8" s="1"/>
  <c r="AA358" i="8" l="1"/>
  <c r="AB358" i="8" s="1"/>
  <c r="AA359" i="8" l="1"/>
  <c r="AB359" i="8" s="1"/>
  <c r="AA360" i="8" l="1"/>
  <c r="AB360" i="8" s="1"/>
  <c r="AA361" i="8" l="1"/>
  <c r="AA362" i="8" l="1"/>
  <c r="AB362" i="8" s="1"/>
  <c r="AB361" i="8"/>
  <c r="AA363" i="8" l="1"/>
  <c r="AB363" i="8" l="1"/>
  <c r="AA364" i="8"/>
  <c r="AB364" i="8" s="1"/>
  <c r="AA365" i="8" l="1"/>
  <c r="AB365" i="8" l="1"/>
  <c r="AA366" i="8"/>
  <c r="AB366" i="8" s="1"/>
  <c r="AA367" i="8" l="1"/>
  <c r="AB367" i="8" s="1"/>
  <c r="AA368" i="8" l="1"/>
  <c r="AA369" i="8" l="1"/>
  <c r="AB369" i="8" s="1"/>
  <c r="AB368" i="8"/>
  <c r="AA370" i="8" l="1"/>
  <c r="AB370" i="8" l="1"/>
  <c r="AA371" i="8"/>
  <c r="AB371" i="8" s="1"/>
  <c r="AA372" i="8" l="1"/>
  <c r="AB372" i="8" l="1"/>
  <c r="AA373" i="8"/>
  <c r="AB373" i="8" s="1"/>
  <c r="AA374" i="8" l="1"/>
  <c r="AB374" i="8" l="1"/>
  <c r="AA375" i="8"/>
  <c r="AB375" i="8" s="1"/>
  <c r="AA376" i="8" l="1"/>
  <c r="AB376" i="8" s="1"/>
  <c r="AA377" i="8" l="1"/>
  <c r="AB377" i="8" s="1"/>
  <c r="AA378" i="8" l="1"/>
  <c r="AB378" i="8" s="1"/>
  <c r="AA379" i="8" l="1"/>
  <c r="AB379" i="8" s="1"/>
  <c r="AA380" i="8" l="1"/>
  <c r="AB380" i="8" s="1"/>
  <c r="AA381" i="8" l="1"/>
  <c r="AB381" i="8" s="1"/>
  <c r="AA382" i="8" l="1"/>
  <c r="AB382" i="8" s="1"/>
  <c r="AA383" i="8" l="1"/>
  <c r="AB383" i="8" s="1"/>
  <c r="AA384" i="8" l="1"/>
  <c r="AB384" i="8" s="1"/>
  <c r="AA385" i="8" l="1"/>
  <c r="AB385" i="8" s="1"/>
  <c r="AA386" i="8" l="1"/>
  <c r="AB386" i="8" s="1"/>
  <c r="AA387" i="8" l="1"/>
  <c r="AB387" i="8" s="1"/>
  <c r="AA388" i="8" l="1"/>
  <c r="AB388" i="8" s="1"/>
  <c r="AA389" i="8" l="1"/>
  <c r="AB389" i="8" s="1"/>
  <c r="AA390" i="8" l="1"/>
  <c r="AB390" i="8" s="1"/>
  <c r="AA391" i="8" l="1"/>
  <c r="AB391" i="8" s="1"/>
  <c r="AA392" i="8" l="1"/>
  <c r="AB392" i="8" s="1"/>
  <c r="AA393" i="8" l="1"/>
  <c r="AB393" i="8" s="1"/>
  <c r="AA394" i="8" l="1"/>
  <c r="AB394" i="8" s="1"/>
  <c r="AA395" i="8" l="1"/>
  <c r="AB395" i="8" s="1"/>
  <c r="AA396" i="8" l="1"/>
  <c r="AB396" i="8" s="1"/>
  <c r="AA397" i="8" l="1"/>
  <c r="AB397" i="8" s="1"/>
  <c r="AA398" i="8" l="1"/>
  <c r="AB398" i="8" s="1"/>
  <c r="AA399" i="8" l="1"/>
  <c r="AB399" i="8" s="1"/>
  <c r="AA400" i="8" l="1"/>
  <c r="AB400" i="8" s="1"/>
  <c r="AA401" i="8" l="1"/>
  <c r="AB401" i="8" s="1"/>
  <c r="AA402" i="8" l="1"/>
  <c r="AB402" i="8" s="1"/>
  <c r="AA403" i="8" l="1"/>
  <c r="AB403" i="8" s="1"/>
  <c r="AA404" i="8" l="1"/>
  <c r="AB404" i="8" l="1"/>
  <c r="AA405" i="8"/>
  <c r="AB405" i="8" s="1"/>
  <c r="AA406" i="8" l="1"/>
  <c r="AB406" i="8" l="1"/>
  <c r="AA407" i="8"/>
  <c r="AB407" i="8" s="1"/>
  <c r="AA408" i="8" l="1"/>
  <c r="AB408" i="8" l="1"/>
  <c r="AA409" i="8"/>
  <c r="AB409" i="8" s="1"/>
  <c r="AA410" i="8" l="1"/>
  <c r="AB410" i="8" l="1"/>
  <c r="AA411" i="8"/>
  <c r="AB411" i="8" s="1"/>
  <c r="AA412" i="8" l="1"/>
  <c r="AB412" i="8" l="1"/>
  <c r="AA413" i="8"/>
  <c r="AB413" i="8" s="1"/>
  <c r="AA414" i="8" l="1"/>
  <c r="AB414" i="8" s="1"/>
  <c r="AA415" i="8" l="1"/>
  <c r="AB415" i="8" s="1"/>
  <c r="AA416" i="8" l="1"/>
  <c r="AB416" i="8" s="1"/>
  <c r="AA417" i="8" l="1"/>
  <c r="AB417" i="8" s="1"/>
  <c r="AA418" i="8" l="1"/>
  <c r="AB418" i="8" s="1"/>
  <c r="AA419" i="8" l="1"/>
  <c r="AB419" i="8" s="1"/>
  <c r="AA420" i="8" l="1"/>
  <c r="AB420" i="8" s="1"/>
  <c r="AA421" i="8" l="1"/>
  <c r="AB421" i="8" s="1"/>
  <c r="AA422" i="8" l="1"/>
  <c r="AB422" i="8" s="1"/>
  <c r="AA423" i="8" l="1"/>
  <c r="AB423" i="8" s="1"/>
  <c r="AA424" i="8" l="1"/>
  <c r="AB424" i="8" s="1"/>
  <c r="AA425" i="8" l="1"/>
  <c r="AA426" i="8" l="1"/>
  <c r="AB426" i="8" s="1"/>
  <c r="AB425" i="8"/>
  <c r="AA427" i="8" l="1"/>
  <c r="AB427" i="8" l="1"/>
  <c r="AA428" i="8"/>
  <c r="AB428" i="8" s="1"/>
  <c r="AA429" i="8" l="1"/>
  <c r="AB429" i="8" l="1"/>
  <c r="AA430" i="8"/>
  <c r="AB430" i="8" s="1"/>
  <c r="AA431" i="8" l="1"/>
  <c r="AB431" i="8" l="1"/>
  <c r="AA432" i="8"/>
  <c r="AB432" i="8" s="1"/>
  <c r="AA433" i="8" l="1"/>
  <c r="AB433" i="8" s="1"/>
  <c r="AA434" i="8" l="1"/>
  <c r="AA435" i="8" l="1"/>
  <c r="AB435" i="8" s="1"/>
  <c r="AB434" i="8"/>
  <c r="AA436" i="8" l="1"/>
  <c r="AB436" i="8" s="1"/>
  <c r="AA437" i="8" l="1"/>
  <c r="AB437" i="8" s="1"/>
  <c r="AA438" i="8" l="1"/>
  <c r="AB438" i="8" s="1"/>
  <c r="AA439" i="8" l="1"/>
  <c r="AB439" i="8" s="1"/>
  <c r="AA440" i="8" l="1"/>
  <c r="AB440" i="8" s="1"/>
  <c r="AA441" i="8" l="1"/>
  <c r="AB441" i="8" s="1"/>
  <c r="AA442" i="8" l="1"/>
  <c r="AB442" i="8" s="1"/>
  <c r="AA443" i="8" l="1"/>
  <c r="AB443" i="8" s="1"/>
  <c r="AA444" i="8" l="1"/>
  <c r="AB444" i="8" s="1"/>
  <c r="AA445" i="8" l="1"/>
  <c r="AB445" i="8" s="1"/>
  <c r="AA446" i="8" l="1"/>
  <c r="AB446" i="8" s="1"/>
  <c r="AA447" i="8" l="1"/>
  <c r="AB447" i="8" s="1"/>
  <c r="AA448" i="8" l="1"/>
  <c r="AB448" i="8" s="1"/>
  <c r="AA449" i="8" l="1"/>
  <c r="AB449" i="8" s="1"/>
  <c r="AA450" i="8" l="1"/>
  <c r="AB450" i="8" s="1"/>
  <c r="AA451" i="8" l="1"/>
  <c r="AB451" i="8" s="1"/>
  <c r="AA452" i="8" l="1"/>
  <c r="AB452" i="8" s="1"/>
  <c r="AA453" i="8" l="1"/>
  <c r="AB453" i="8" s="1"/>
  <c r="AA454" i="8" l="1"/>
  <c r="AB454" i="8" s="1"/>
  <c r="AA455" i="8" l="1"/>
  <c r="AB455" i="8" s="1"/>
  <c r="AA456" i="8" l="1"/>
  <c r="AB456" i="8" s="1"/>
  <c r="AA457" i="8" l="1"/>
  <c r="AB457" i="8" s="1"/>
  <c r="AA458" i="8" l="1"/>
  <c r="AB458" i="8" s="1"/>
  <c r="AA459" i="8" l="1"/>
  <c r="AB459" i="8" s="1"/>
  <c r="AA460" i="8" l="1"/>
  <c r="AB460" i="8" s="1"/>
  <c r="AA461" i="8" l="1"/>
  <c r="AB461" i="8" s="1"/>
  <c r="AA462" i="8" l="1"/>
  <c r="AB462" i="8" s="1"/>
  <c r="AA463" i="8" l="1"/>
  <c r="AB463" i="8" s="1"/>
  <c r="AA464" i="8" l="1"/>
  <c r="AB464" i="8" s="1"/>
  <c r="AA465" i="8" l="1"/>
  <c r="AB465" i="8" s="1"/>
  <c r="AA466" i="8" l="1"/>
  <c r="AB466" i="8" s="1"/>
  <c r="AA467" i="8" l="1"/>
  <c r="AB467" i="8" s="1"/>
  <c r="AA468" i="8" l="1"/>
  <c r="AB468" i="8" s="1"/>
  <c r="AA469" i="8" l="1"/>
  <c r="AB469" i="8" s="1"/>
  <c r="AA470" i="8" l="1"/>
  <c r="AB470" i="8" s="1"/>
  <c r="AA471" i="8" l="1"/>
  <c r="AB471" i="8" s="1"/>
  <c r="AA472" i="8" l="1"/>
  <c r="AB472" i="8" s="1"/>
  <c r="AA473" i="8" l="1"/>
  <c r="AB473" i="8" s="1"/>
  <c r="AA474" i="8" l="1"/>
  <c r="AB474" i="8" s="1"/>
  <c r="AA475" i="8" l="1"/>
  <c r="AB475" i="8" s="1"/>
  <c r="AA476" i="8" l="1"/>
  <c r="AB476" i="8" s="1"/>
  <c r="AA477" i="8" l="1"/>
  <c r="AB477" i="8" s="1"/>
  <c r="AA478" i="8" l="1"/>
  <c r="AB478" i="8" s="1"/>
  <c r="AA479" i="8" l="1"/>
  <c r="AB479" i="8" s="1"/>
  <c r="AA480" i="8" l="1"/>
  <c r="AB480" i="8" s="1"/>
  <c r="AA481" i="8" l="1"/>
  <c r="AB481" i="8" s="1"/>
  <c r="AA482" i="8" l="1"/>
  <c r="AB482" i="8" s="1"/>
  <c r="AA483" i="8" l="1"/>
  <c r="AB483" i="8" s="1"/>
  <c r="AA484" i="8" l="1"/>
  <c r="AB484" i="8" s="1"/>
  <c r="AA485" i="8" l="1"/>
  <c r="AB485" i="8" s="1"/>
  <c r="AA486" i="8" l="1"/>
  <c r="AB486" i="8" s="1"/>
  <c r="AA487" i="8" l="1"/>
  <c r="AB487" i="8" s="1"/>
  <c r="AA488" i="8" l="1"/>
  <c r="AB488" i="8" s="1"/>
  <c r="AA489" i="8" l="1"/>
  <c r="AB489" i="8" s="1"/>
  <c r="AA490" i="8" l="1"/>
  <c r="AB490" i="8" s="1"/>
  <c r="AA491" i="8" l="1"/>
  <c r="AB491" i="8" s="1"/>
  <c r="AA492" i="8" l="1"/>
  <c r="AB492" i="8" s="1"/>
  <c r="AA493" i="8" l="1"/>
  <c r="AB493" i="8" s="1"/>
  <c r="AA494" i="8" l="1"/>
  <c r="AB494" i="8" s="1"/>
  <c r="AA495" i="8" l="1"/>
  <c r="AB495" i="8" s="1"/>
  <c r="AA496" i="8" l="1"/>
  <c r="AB496" i="8" s="1"/>
  <c r="AA497" i="8" l="1"/>
  <c r="AB497" i="8" s="1"/>
  <c r="AA498" i="8" l="1"/>
  <c r="AB498" i="8" s="1"/>
  <c r="AA499" i="8" l="1"/>
  <c r="AB499" i="8" s="1"/>
  <c r="AA500" i="8" l="1"/>
  <c r="AB17" i="8" s="1"/>
  <c r="AB16" i="8" l="1"/>
  <c r="AB500" i="8"/>
  <c r="AB15" i="8"/>
  <c r="AB14" i="8"/>
  <c r="AD13" i="8" l="1"/>
  <c r="B3" i="2"/>
</calcChain>
</file>

<file path=xl/sharedStrings.xml><?xml version="1.0" encoding="utf-8"?>
<sst xmlns="http://schemas.openxmlformats.org/spreadsheetml/2006/main" count="738" uniqueCount="366">
  <si>
    <t>I. IDENTIFICACIÓN  DE LA UNIDAD</t>
  </si>
  <si>
    <t>UNIDAD NOTIFICANTE:</t>
  </si>
  <si>
    <t>LOCALIDAD:</t>
  </si>
  <si>
    <t>MUNICIPIO:</t>
  </si>
  <si>
    <t>JURISDICCIÓN O EQUIVALENTE:</t>
  </si>
  <si>
    <t>ENTIDAD O DELEGACIÓN:</t>
  </si>
  <si>
    <t>INSTITUCIÓN:</t>
  </si>
  <si>
    <t>II. ANTECEDENTES</t>
  </si>
  <si>
    <t>DX. PROBABLE:</t>
  </si>
  <si>
    <t>DX. FINAL:</t>
  </si>
  <si>
    <t>FECHA DE NOTIFICACIÓN</t>
  </si>
  <si>
    <t>DIA</t>
  </si>
  <si>
    <t>MES</t>
  </si>
  <si>
    <t>AÑO</t>
  </si>
  <si>
    <t>CASOS PROBABLES</t>
  </si>
  <si>
    <t>CASOS CONFIRMADOS</t>
  </si>
  <si>
    <t>DEFUNCIONES</t>
  </si>
  <si>
    <t>HOSPITALIZADOS</t>
  </si>
  <si>
    <t>III. DISTRIBUCION POR PERSONA</t>
  </si>
  <si>
    <t>LLENE LOS ESPACIOS COMO SE INDICA</t>
  </si>
  <si>
    <t>GRUPO DE EDAD</t>
  </si>
  <si>
    <t>&lt; 1</t>
  </si>
  <si>
    <t xml:space="preserve"> 1 - 4</t>
  </si>
  <si>
    <t xml:space="preserve"> 5 - 14</t>
  </si>
  <si>
    <t xml:space="preserve"> 15 - 24</t>
  </si>
  <si>
    <t xml:space="preserve"> 25 - 44</t>
  </si>
  <si>
    <t xml:space="preserve"> 45 - 64</t>
  </si>
  <si>
    <t>65 Y MAS</t>
  </si>
  <si>
    <t>IGNORADOS</t>
  </si>
  <si>
    <t>T O T A L</t>
  </si>
  <si>
    <t>SISTEMA NACIONAL DE SALUD</t>
  </si>
  <si>
    <t>NOTIFICACION DE BROTE</t>
  </si>
  <si>
    <t>MASCULINO (A)</t>
  </si>
  <si>
    <t>FEMENINO (B)</t>
  </si>
  <si>
    <t>NUMERO DE CASOS</t>
  </si>
  <si>
    <t>NUMERO DE DEFUNCIONES</t>
  </si>
  <si>
    <t>POBLACIÓN EXPUESTA</t>
  </si>
  <si>
    <t>MASCULINO (D)</t>
  </si>
  <si>
    <t>FEMENINO (E)</t>
  </si>
  <si>
    <t>FEMENINO (H)</t>
  </si>
  <si>
    <t>TASA DE ATAQUE *</t>
  </si>
  <si>
    <t>No.</t>
  </si>
  <si>
    <t>%</t>
  </si>
  <si>
    <t>CASOS</t>
  </si>
  <si>
    <t>PARA OBTENER LAS TASAS DE ATAQUE Y LETALIDAD, SE INDICA EN CADA COLUMNA CON LETRAS), LA OPERACIÓN A REALIZAR CON BASE EN LAS LETRAS INDICADAS EN EL CUADRO ANTERIOR.</t>
  </si>
  <si>
    <t>* TASA POR 100</t>
  </si>
  <si>
    <t>IV. DISTRIBUCION EN EL TIEMPO</t>
  </si>
  <si>
    <t>GRAFIQUE EN EL EJE HORIZONTAL EL TIEMPO (HORAS, DÍAS, SEMANAS, ETC.) EN QUE OCURRIO EL BROTE, EN EL EJE VERTICAL LA ESCALA MÁS ADECUADADEL NUMERO DE CASOS Y DEFUNCIONES QUE SEPRESENTARÓN, EN CASO NECESARIO GRAFIQUE EN HOJAS ADICIONALES.</t>
  </si>
  <si>
    <r>
      <rPr>
        <b/>
        <sz val="8"/>
        <color theme="1"/>
        <rFont val="Calibri"/>
        <family val="2"/>
        <scheme val="minor"/>
      </rPr>
      <t>V. DISTRIBUCION GEOGRAFICA:</t>
    </r>
    <r>
      <rPr>
        <sz val="8"/>
        <color theme="1"/>
        <rFont val="Calibri"/>
        <family val="2"/>
        <scheme val="minor"/>
      </rPr>
      <t xml:space="preserve"> ANEXAR CROQUIS CON LA UBICACIÓN DE CASOS Y DEFUNCIONES POR FECHA DE INICIO, EN CASO NECESARIO AGREGAR MÁS DE UN CROQUIS, SELECCIONE SÓLO EL AGREGADO O CATEGORIA QUE MEJOR REPRESENTE LA DISTRIBUCIÓN DE LOS CASOS EN DONDE ESTA OCURRIENDO EL BROTE</t>
    </r>
  </si>
  <si>
    <t>AREA, MANZANA, COLONIA, LOCALIDAD, ESCUELA O VIVIENDA</t>
  </si>
  <si>
    <t>TOTAL</t>
  </si>
  <si>
    <t>VI. ANALISIS EPIDEMIOLÓGICO</t>
  </si>
  <si>
    <t>VII. ACCIONES DE CONTROL</t>
  </si>
  <si>
    <t>NOMBRE Y CARGO DE QUIEN ELABORÓ</t>
  </si>
  <si>
    <t>VO.BO. DIRECTOR</t>
  </si>
  <si>
    <t>VO.BO. EPIDEMIÓLOGO</t>
  </si>
  <si>
    <t>1. ANTECEDENTES EPIDEMIOLÓGICOS DEL BROTE:</t>
  </si>
  <si>
    <t>2. PROBABLES FUENTES DEL BROTE:</t>
  </si>
  <si>
    <t>3. PROBABLES MECANISMOS DE TRANSMISIÓN:</t>
  </si>
  <si>
    <t>EL FORMATO DEBE SER LLENADO POR EL EPIDEMIÓLOGO O PERSONAL DESIGNADO.</t>
  </si>
  <si>
    <t>EL LLENADO DE ESTE INFORME NO SUSTITUYE SU NOTIFICACIÓN EN LOS SISTEMAS DE VIGILANCIA EPIDEMIOLÓGICA NI LA ELABORACIÓN DEL INFORME FINAL DEL BROTE.</t>
  </si>
  <si>
    <t>SECRETARIA DE SALUD DEL ESTADO DE HIDALGO</t>
  </si>
  <si>
    <t>SUBSECRETARIA DE SALUD PUBLICA</t>
  </si>
  <si>
    <t>SUBDIRECCION DE EPIDEMIOLOGIA</t>
  </si>
  <si>
    <t>JURISDICCION:</t>
  </si>
  <si>
    <t xml:space="preserve">MUNICIPIO: </t>
  </si>
  <si>
    <t>TIPO DE BROTE:</t>
  </si>
  <si>
    <t>FECHA INICIO:</t>
  </si>
  <si>
    <t>FECHA REPORTE:</t>
  </si>
  <si>
    <t>NOTA: USAR VALORES NUMERICOS PARA RESPUESTA DE VARIABLES      1 = SI       0 = NO</t>
  </si>
  <si>
    <t xml:space="preserve"> </t>
  </si>
  <si>
    <t>NOMBRE</t>
  </si>
  <si>
    <t>DOMICILIO</t>
  </si>
  <si>
    <t>BARRIO Y/O COLONIA</t>
  </si>
  <si>
    <t>FECHA INICIO SINTOMAS</t>
  </si>
  <si>
    <t>TRATAMIENTO INICIAL</t>
  </si>
  <si>
    <t>FECHA INICIO TRATAMIENTO</t>
  </si>
  <si>
    <t>FECHA TOMA MUESTRA</t>
  </si>
  <si>
    <t>TIPO DE MUESTRA</t>
  </si>
  <si>
    <t>FECHA DE RESULTADO</t>
  </si>
  <si>
    <t>RESULTADO</t>
  </si>
  <si>
    <t>FOLIO LAB.</t>
  </si>
  <si>
    <t>SINTOMATOLOGIA</t>
  </si>
  <si>
    <t>FUENTE PROBABLE DE CONTAGIO (CONTACTO)</t>
  </si>
  <si>
    <t>HOSPITAL</t>
  </si>
  <si>
    <t>MASC</t>
  </si>
  <si>
    <t>FEM</t>
  </si>
  <si>
    <t>EDAD</t>
  </si>
  <si>
    <t>SEXO</t>
  </si>
  <si>
    <t>ANALISIS DE BROTE EPIDEMIOLOGICO</t>
  </si>
  <si>
    <t>FECHA TERMINO:</t>
  </si>
  <si>
    <t>Curva epidémica</t>
  </si>
  <si>
    <t>FUENTE PROBABLE DE CONTAGIO</t>
  </si>
  <si>
    <t>GPO EDAD</t>
  </si>
  <si>
    <t xml:space="preserve">FUENTE </t>
  </si>
  <si>
    <t>Total</t>
  </si>
  <si>
    <t>INFORME NARRATIVO</t>
  </si>
  <si>
    <t>FECHA DE INFORME:</t>
  </si>
  <si>
    <t>ELABORO</t>
  </si>
  <si>
    <t>Vo.Bo.</t>
  </si>
  <si>
    <t>NOMBRE Y FIRMA</t>
  </si>
  <si>
    <t>GEORREFERENCIA DE CASOS DEL BROTE</t>
  </si>
  <si>
    <t>Caso primario</t>
  </si>
  <si>
    <t>Caso índice</t>
  </si>
  <si>
    <t xml:space="preserve">Casos </t>
  </si>
  <si>
    <t>FECHA DE INICIO DEL BROTE</t>
  </si>
  <si>
    <t>NOTIFICACIÓN</t>
  </si>
  <si>
    <t>MASCULINO (A/G)</t>
  </si>
  <si>
    <t>FEMENINO (B/H)</t>
  </si>
  <si>
    <t>MASCULINO(G)</t>
  </si>
  <si>
    <t>NO.</t>
  </si>
  <si>
    <t>Institución</t>
  </si>
  <si>
    <t>LISTADO NOMINAL DE CASOS</t>
  </si>
  <si>
    <t>ESCOLAR</t>
  </si>
  <si>
    <t>MUNICIPIO</t>
  </si>
  <si>
    <t>FORANEO</t>
  </si>
  <si>
    <t>Valores</t>
  </si>
  <si>
    <t>Dia</t>
  </si>
  <si>
    <t>Mes</t>
  </si>
  <si>
    <t>Año</t>
  </si>
  <si>
    <t>Jur</t>
  </si>
  <si>
    <t>Mpio</t>
  </si>
  <si>
    <t>INICIAL</t>
  </si>
  <si>
    <t>01 Pachuca</t>
  </si>
  <si>
    <t>1 SSH</t>
  </si>
  <si>
    <t>02 Tulancingo</t>
  </si>
  <si>
    <t>2 IMSS ORD</t>
  </si>
  <si>
    <t>03 Tula</t>
  </si>
  <si>
    <t>3 ISSSTE</t>
  </si>
  <si>
    <t>04 Huichapan</t>
  </si>
  <si>
    <t>4 OTRA</t>
  </si>
  <si>
    <t>05 Zimapan</t>
  </si>
  <si>
    <t>5 IMSS PROS</t>
  </si>
  <si>
    <t>06 Ixmiquilpan</t>
  </si>
  <si>
    <t>6 DIF</t>
  </si>
  <si>
    <t>07 Actopan</t>
  </si>
  <si>
    <t>7 PEMEX</t>
  </si>
  <si>
    <t>08 Metztitlan</t>
  </si>
  <si>
    <t>8 SEDENA</t>
  </si>
  <si>
    <t>09 Molango</t>
  </si>
  <si>
    <t>10 Huejutla</t>
  </si>
  <si>
    <t>11 Apan</t>
  </si>
  <si>
    <t>12 Tizayuca</t>
  </si>
  <si>
    <t>13 Otomi-Tepehua</t>
  </si>
  <si>
    <t>14 Tepeji</t>
  </si>
  <si>
    <t>15 Atotonilco</t>
  </si>
  <si>
    <t>16 Jacala</t>
  </si>
  <si>
    <t>ALTA</t>
  </si>
  <si>
    <t>17 Zacualtipan</t>
  </si>
  <si>
    <t xml:space="preserve">MES </t>
  </si>
  <si>
    <t>FAMILIAR</t>
  </si>
  <si>
    <t>FECHA DE INGRESO</t>
  </si>
  <si>
    <t>COMUNITARIO</t>
  </si>
  <si>
    <t>LOCALIZADO</t>
  </si>
  <si>
    <t>NOSOCOMIAL</t>
  </si>
  <si>
    <t>NO</t>
  </si>
  <si>
    <t>FECHA_INICIO</t>
  </si>
  <si>
    <t>JURISDICCION</t>
  </si>
  <si>
    <t>LOCALIDAD</t>
  </si>
  <si>
    <t>DIAGNOSTICO INICIAL</t>
  </si>
  <si>
    <t>1 A 4</t>
  </si>
  <si>
    <t>5 A 14</t>
  </si>
  <si>
    <t>15 A 24</t>
  </si>
  <si>
    <t>25 A 44</t>
  </si>
  <si>
    <t>45 A 64</t>
  </si>
  <si>
    <t>CASOS_BUSQ</t>
  </si>
  <si>
    <t>TOTAL_CASOS</t>
  </si>
  <si>
    <t>CLASIFICACION</t>
  </si>
  <si>
    <t>INSTITUCION AL QUE PERTENECE</t>
  </si>
  <si>
    <t>FECHA_ULTIMO_CASO</t>
  </si>
  <si>
    <t>CASOS_NUEVOS</t>
  </si>
  <si>
    <t>Día</t>
  </si>
  <si>
    <t>01 ACATLAN</t>
  </si>
  <si>
    <t>02 ACAXOCHITLAN</t>
  </si>
  <si>
    <t>03 ACTOPAN</t>
  </si>
  <si>
    <t>04 AGUA BLANCA DE ITURBIDE</t>
  </si>
  <si>
    <t>05 AJACUBA</t>
  </si>
  <si>
    <t>06 ALFAJAYUCAN</t>
  </si>
  <si>
    <t>07 ALMOLOYA</t>
  </si>
  <si>
    <t>08 APAN</t>
  </si>
  <si>
    <t>09 EL ARENAL</t>
  </si>
  <si>
    <t>10 ATITALAQUIA</t>
  </si>
  <si>
    <t>11 ATLAPEXCO</t>
  </si>
  <si>
    <t>12 ATOTONILCO EL GRANDE</t>
  </si>
  <si>
    <t>13 ATOTONILCO DE TULA</t>
  </si>
  <si>
    <t>14 CALNALI</t>
  </si>
  <si>
    <t>15 CARDONAL</t>
  </si>
  <si>
    <t>16 CUAUTEPEC DE HINOJOSA</t>
  </si>
  <si>
    <t>17 CHAPANTONGO</t>
  </si>
  <si>
    <t>18 CHAPULHUACAN</t>
  </si>
  <si>
    <t>19 CHILCUAUTLA</t>
  </si>
  <si>
    <t>21 EMILIANO ZAPATA</t>
  </si>
  <si>
    <t>22 EPAZOYUCAN</t>
  </si>
  <si>
    <t>23 FRANCISCO I. MADERO</t>
  </si>
  <si>
    <t>24 HUASCA DE OCAMPO</t>
  </si>
  <si>
    <t>25 HUAUTLA</t>
  </si>
  <si>
    <t>26 HUAZALINGO</t>
  </si>
  <si>
    <t>27 HUEHUETLA</t>
  </si>
  <si>
    <t>28 HUEJUTLA DE REYES</t>
  </si>
  <si>
    <t>29 HUICHAPAN</t>
  </si>
  <si>
    <t>31 JACALA DE LEDEZMA</t>
  </si>
  <si>
    <t>32 JALTOCAN</t>
  </si>
  <si>
    <t>33 JUAREZ HIDALGO</t>
  </si>
  <si>
    <t>34 LOLOTLA</t>
  </si>
  <si>
    <t>35 METEPEC</t>
  </si>
  <si>
    <t>36 SAN AGUSTIN METZQUITITLAN</t>
  </si>
  <si>
    <t>37 METZTITLAN</t>
  </si>
  <si>
    <t>38 MINERAL DEL CHICO</t>
  </si>
  <si>
    <t>39 MINERAL DEL MONTE</t>
  </si>
  <si>
    <t>41 MIXQUIAHUALA DE JUAREZ</t>
  </si>
  <si>
    <t>42 MOLANGO DE ESCAMILLA</t>
  </si>
  <si>
    <t>43 NICOLAS FLORES</t>
  </si>
  <si>
    <t>44 NOPALA DE VILLAGRAN</t>
  </si>
  <si>
    <t>45 OMITLAN DE JUAREZ</t>
  </si>
  <si>
    <t>46 SAN FELIPE ORIZATLAN</t>
  </si>
  <si>
    <t>47 PACULA</t>
  </si>
  <si>
    <t>48 PACHUCA DE SOTO</t>
  </si>
  <si>
    <t>49 PISAFLORES</t>
  </si>
  <si>
    <t>51 MINERAL DE LA REFORMA</t>
  </si>
  <si>
    <t>52 SAN AGUSTIN TLAXIACA</t>
  </si>
  <si>
    <t>53 SAN BARTOLO TUTOTEPEC</t>
  </si>
  <si>
    <t>54 SAN SALVADOR</t>
  </si>
  <si>
    <t>55 SANTIAGO DE ANAYA</t>
  </si>
  <si>
    <t>56 SANTIAGO TULANTEPEC DE LUGO GUERRERO</t>
  </si>
  <si>
    <t>57 SINGUILUCAN</t>
  </si>
  <si>
    <t>58 TASQUILLO</t>
  </si>
  <si>
    <t>59 TECOZAUTLA</t>
  </si>
  <si>
    <t>61 TEPEAPULCO</t>
  </si>
  <si>
    <t>62 TEPEHUACAN DE GUERRERO</t>
  </si>
  <si>
    <t>63 TEPEJI DEL RIO DE OCAMPO</t>
  </si>
  <si>
    <t>64 TEPETITLAN</t>
  </si>
  <si>
    <t>65 TETEPANGO</t>
  </si>
  <si>
    <t>66 VILLA DE TEZONTEPEC</t>
  </si>
  <si>
    <t>67 TEZONTEPEC DE ALDAMA</t>
  </si>
  <si>
    <t>68 TIANGUISTENGO</t>
  </si>
  <si>
    <t>69 TIZAYUCA</t>
  </si>
  <si>
    <t>71 TLAHUILTEPA</t>
  </si>
  <si>
    <t>72 TLANALAPA</t>
  </si>
  <si>
    <t>73 TLANCHINOL</t>
  </si>
  <si>
    <t>74 TLAXCOAPAN</t>
  </si>
  <si>
    <t>75 TOLCAYUCA</t>
  </si>
  <si>
    <t>76 TULA DE ALLENDE</t>
  </si>
  <si>
    <t>77 TULANCINGO DE BRAVO</t>
  </si>
  <si>
    <t>78 XOCHIATIPAN</t>
  </si>
  <si>
    <t>79 XOCHICOATLAN</t>
  </si>
  <si>
    <t>81 ZACUALTIPAN DE ANGELES</t>
  </si>
  <si>
    <t>82 ZAPOTLAN DE JUAREZ</t>
  </si>
  <si>
    <t>83 ZEMPOALA</t>
  </si>
  <si>
    <t>84 ZIMAPAN</t>
  </si>
  <si>
    <t>20 ELOXOCHITLAN</t>
  </si>
  <si>
    <t>30 IXMIQUILPAN</t>
  </si>
  <si>
    <t>40 LA MISION</t>
  </si>
  <si>
    <t>50 PROGRESO DE OBREGON</t>
  </si>
  <si>
    <t>60 TENANGO DE DORIA</t>
  </si>
  <si>
    <t>70 TLAHUELILPAN</t>
  </si>
  <si>
    <t>80 YAHUALICA</t>
  </si>
  <si>
    <t>&lt;1</t>
  </si>
  <si>
    <t>TASA DE LETALIDAD</t>
  </si>
  <si>
    <t>TOTAL            ( F/C )</t>
  </si>
  <si>
    <t>SIGNOS Y SINTOMAS</t>
  </si>
  <si>
    <t>FRECUENCIA DE SIGNOS Y SINTOMAS</t>
  </si>
  <si>
    <t>TOTAL ( C )</t>
  </si>
  <si>
    <t>TOTAL (F)</t>
  </si>
  <si>
    <t>TOTAL (I)</t>
  </si>
  <si>
    <t>notificacion_MASC</t>
  </si>
  <si>
    <t>JN</t>
  </si>
  <si>
    <t>PRIM</t>
  </si>
  <si>
    <t>SEC</t>
  </si>
  <si>
    <t>PREPA</t>
  </si>
  <si>
    <t>COLONIA</t>
  </si>
  <si>
    <t>HOSP</t>
  </si>
  <si>
    <t>OTRO</t>
  </si>
  <si>
    <t>ORDENA</t>
  </si>
  <si>
    <t>VALORES_UNICOS</t>
  </si>
  <si>
    <t>SEGUIMIENTO</t>
  </si>
  <si>
    <t>SEGUIMIENTO 1</t>
  </si>
  <si>
    <t>SEGUIMIENTO 2</t>
  </si>
  <si>
    <t>SEGUIMIENTO 3</t>
  </si>
  <si>
    <t>SEGUIMIENTO 4</t>
  </si>
  <si>
    <t>SEGUIMIENTO 5</t>
  </si>
  <si>
    <t>SEGUIMIENTO 6</t>
  </si>
  <si>
    <t>SEGUIMIENTO 7</t>
  </si>
  <si>
    <t>SEGUIMIENTO 8</t>
  </si>
  <si>
    <t>SEGUIMIENTO 9</t>
  </si>
  <si>
    <t>SEGUIMIENTO 10</t>
  </si>
  <si>
    <t>SEGUIMIENTO 11</t>
  </si>
  <si>
    <t>SEGUIMIENTO 12</t>
  </si>
  <si>
    <t>SEGUIMIENTO 13</t>
  </si>
  <si>
    <t>SEGUIMIENTO 14</t>
  </si>
  <si>
    <t>SEGUIMIENTO 15</t>
  </si>
  <si>
    <t>SEGUIMIENTO 16</t>
  </si>
  <si>
    <t>SEGUIMIENTO 17</t>
  </si>
  <si>
    <t>SEGUIMIENTO 18</t>
  </si>
  <si>
    <t>SEGUIMIENTO 19</t>
  </si>
  <si>
    <t>SEGUIMIENTO 20</t>
  </si>
  <si>
    <t>SEGUIMIENTO 21</t>
  </si>
  <si>
    <t>SEGUIMIENTO 22</t>
  </si>
  <si>
    <t>SEGUIMIENTO 23</t>
  </si>
  <si>
    <t>SEGUIMIENTO 24</t>
  </si>
  <si>
    <t>SEGUIMIENTO 25</t>
  </si>
  <si>
    <t>SEGUIMIENTO 26</t>
  </si>
  <si>
    <t>SEGUIMIENTO 27</t>
  </si>
  <si>
    <t>SEGUIMIENTO 28</t>
  </si>
  <si>
    <t>SEGUIMIENTO 29</t>
  </si>
  <si>
    <t>SEGUIMIENTO 30</t>
  </si>
  <si>
    <t>INF_INICIAL</t>
  </si>
  <si>
    <t>JUR 15 ATOTONILCO</t>
  </si>
  <si>
    <t>JUR 13 OTOMI-TEPEHUA</t>
  </si>
  <si>
    <t>JUR 07 ACTOPAN</t>
  </si>
  <si>
    <t>JUR 14 TEPEJI</t>
  </si>
  <si>
    <t>JUR 06 IXMIQUILPAN</t>
  </si>
  <si>
    <t>JUR 11 APAN</t>
  </si>
  <si>
    <t>JUR 10 HUEJUTLA</t>
  </si>
  <si>
    <t>JUR 09 MOLANGO</t>
  </si>
  <si>
    <t>JUR 02 TULANCINGO</t>
  </si>
  <si>
    <t>JUR 04 HUICHAPAN</t>
  </si>
  <si>
    <t>JUR 16 JACALA</t>
  </si>
  <si>
    <t>JUR 08 METZTITLAN</t>
  </si>
  <si>
    <t>JUR 01 PACHUCA</t>
  </si>
  <si>
    <t>JUR 05 ZIMAPAN</t>
  </si>
  <si>
    <t>JUR 03 TULA</t>
  </si>
  <si>
    <t>JUR 12 TIZAYUCA</t>
  </si>
  <si>
    <t>JUR 17 ZACUALTIPAN</t>
  </si>
  <si>
    <t>SUPERIOR</t>
  </si>
  <si>
    <t>Días</t>
  </si>
  <si>
    <t>Casos</t>
  </si>
  <si>
    <t>CASO PRIMARIO ES EL PRIMERO</t>
  </si>
  <si>
    <t>EL CASO INDICE EL QUE DESENCADENA EL BROTE</t>
  </si>
  <si>
    <t xml:space="preserve">CLAVE DE LA UNIDAD: </t>
  </si>
  <si>
    <t>TOS</t>
  </si>
  <si>
    <t>FIEBRE</t>
  </si>
  <si>
    <t>ODINOFAGIA</t>
  </si>
  <si>
    <t>RINORREA</t>
  </si>
  <si>
    <t>INFORME INICIAL</t>
  </si>
  <si>
    <t>CSR SAN IGNACIO NOPALA</t>
  </si>
  <si>
    <t>TEPEJI DEL RIO DE OCAMPO</t>
  </si>
  <si>
    <t>TULA DE ALLENDE</t>
  </si>
  <si>
    <t>HIDALGO</t>
  </si>
  <si>
    <t>CAROLINA VEGA CHAVEZ</t>
  </si>
  <si>
    <t>2.SE OTORGA TRATAMIENTO A LOS MENORES</t>
  </si>
  <si>
    <t>4. SE REALIZAN ACCIONES DE PROMOCION A LA SALUD COMO LO SON ORIENTACION A LA MADRE, CAPACITACION EN CUIDADOS, TECNICAS DE LAVADO DE MANOS, SALUDO DE ETIQUETA.</t>
  </si>
  <si>
    <t>AMIGDALITIS</t>
  </si>
  <si>
    <t>F</t>
  </si>
  <si>
    <t>LA LOMA</t>
  </si>
  <si>
    <t xml:space="preserve">CRUZ SANTILLAN GAELI YARITZA </t>
  </si>
  <si>
    <t xml:space="preserve">CRUZ SANTILLAN SANTILLAN JAIR RIGBERTO </t>
  </si>
  <si>
    <t>M</t>
  </si>
  <si>
    <t xml:space="preserve">X EL PANTEON </t>
  </si>
  <si>
    <t>PARACETAMOL,CLORFENAMINA CON ACIDO CLAVULANICO</t>
  </si>
  <si>
    <t>PARACETAOL, AMBROXOL Y AMOXICILINA CON ACIDO CLAVULANICO</t>
  </si>
  <si>
    <t>LA LOMA, SAN JOSE PIDRA GORDA</t>
  </si>
  <si>
    <t>OTRAS</t>
  </si>
  <si>
    <t>LA LOMA SAN JOSE PIEDRA GORDA</t>
  </si>
  <si>
    <t>1. ACUDE A CONSULTA EL 02/01/2025</t>
  </si>
  <si>
    <t>EXUDADO FARINGEO</t>
  </si>
  <si>
    <t xml:space="preserve"> EL DIA 02 DE ENERO 2025 ACUDEN A CONSULTA TRAIDOS POR LA MADRE DOS MENORES SIENDO HERMANOS POR REFERIR INICIAR AMBOS SU PADECIMIENTO ACTUAL EL DIA 30/12/2024 CON SINTOMATOLOGIA RESPIRATORIA, ACUDEN SE OTORGA ATENCIÓN MEDICA CON DIAGNOSTICO DE AMIGDALITIS AMBOS MENORES CRUZ SATILLAN GAELI YARITZA DE UN AÑO Y CRUZ SATILAN JAIR RIGOBERTO DE 10 AÑOS QUIEN ACUDE A ESC. PRIMARIA CUAHUTEMOC EN LA LOCALIDAD DE SAN JOSE PIEDRA GORDA, SE INDICA MANEJO FARMACOLOGICO, SE DAN INDICACIONES DE AISLAMIENTO SOCIAL, MEDIDAS HIGIENICO DIETETICAS E IDENTIFICACION DE SIGNOS DE ALARMA, ASI COMO SE MANTIENE ALERTA PARA DETECCION DE NUEVOS CASOS.</t>
  </si>
  <si>
    <t xml:space="preserve">EXUDADO FARINGEO </t>
  </si>
  <si>
    <t>NINGUNO</t>
  </si>
  <si>
    <t>PERSONA-PERSONA POR GOTAS DE FLUDGE, FOMITES</t>
  </si>
  <si>
    <t xml:space="preserve">PERSONA CON PRESENCIA DE AMIGDALITIS </t>
  </si>
  <si>
    <t xml:space="preserve">3. SE REALIZA NOTIFICACION AL DEPARTAMENTO DE EPIDEMIOLOGIA </t>
  </si>
  <si>
    <t>30</t>
  </si>
  <si>
    <t>12</t>
  </si>
  <si>
    <t>2024</t>
  </si>
  <si>
    <t>DRA. MARISOL PEREZ VARGAS</t>
  </si>
  <si>
    <t>DRA. MARISOL PÉREZ VARGAS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</si>
</sst>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43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0"/>
      <name val="Arial"/>
      <family val="2"/>
    </font>
    <font>
      <b/>
      <sz val="10"/>
      <color indexed="56"/>
      <name val="Arial"/>
      <family val="2"/>
    </font>
    <font>
      <b/>
      <sz val="9"/>
      <color indexed="56"/>
      <name val="Arial Unicode MS"/>
      <family val="2"/>
    </font>
    <font>
      <b/>
      <sz val="8"/>
      <color indexed="58"/>
      <name val="Tahoma"/>
      <family val="2"/>
    </font>
    <font>
      <b/>
      <sz val="9"/>
      <color indexed="58"/>
      <name val="Tahoma"/>
      <family val="2"/>
    </font>
    <font>
      <b/>
      <sz val="8"/>
      <name val="Arial"/>
      <family val="2"/>
    </font>
    <font>
      <b/>
      <sz val="7"/>
      <color indexed="58"/>
      <name val="Tahoma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b/>
      <sz val="7.5"/>
      <color indexed="56"/>
      <name val="Arial Unicode MS"/>
      <family val="2"/>
    </font>
    <font>
      <b/>
      <sz val="8"/>
      <color theme="1"/>
      <name val="Arial"/>
      <family val="2"/>
    </font>
    <font>
      <b/>
      <sz val="9"/>
      <color indexed="18"/>
      <name val="Arial"/>
      <family val="2"/>
    </font>
    <font>
      <sz val="6"/>
      <name val="Arial"/>
      <family val="2"/>
    </font>
    <font>
      <b/>
      <sz val="10"/>
      <color indexed="62"/>
      <name val="Arial"/>
      <family val="2"/>
    </font>
    <font>
      <sz val="11"/>
      <name val="Tahoma"/>
      <family val="2"/>
    </font>
    <font>
      <sz val="9"/>
      <name val="Tahoma"/>
      <family val="2"/>
    </font>
    <font>
      <b/>
      <sz val="9"/>
      <color indexed="62"/>
      <name val="Arial Unicode MS"/>
      <family val="2"/>
    </font>
    <font>
      <sz val="10"/>
      <color indexed="62"/>
      <name val="Arial"/>
      <family val="2"/>
    </font>
    <font>
      <b/>
      <sz val="9"/>
      <color indexed="62"/>
      <name val="Arial"/>
      <family val="2"/>
    </font>
    <font>
      <sz val="10"/>
      <color indexed="10"/>
      <name val="Arial"/>
      <family val="2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000000"/>
      <name val="Calibri"/>
      <family val="2"/>
    </font>
    <font>
      <sz val="14"/>
      <color rgb="FF404040"/>
      <name val="Courier New"/>
      <family val="3"/>
    </font>
    <font>
      <b/>
      <sz val="7"/>
      <color indexed="62"/>
      <name val="Arial Unicode MS"/>
      <family val="2"/>
    </font>
    <font>
      <b/>
      <sz val="8"/>
      <color theme="1"/>
      <name val="Tahoma"/>
      <family val="2"/>
    </font>
    <font>
      <sz val="8"/>
      <color theme="1"/>
      <name val="Tahoma"/>
      <family val="2"/>
    </font>
    <font>
      <b/>
      <sz val="8"/>
      <color theme="0"/>
      <name val="Arial"/>
      <family val="2"/>
    </font>
    <font>
      <sz val="8"/>
      <color indexed="10"/>
      <name val="Arial"/>
      <family val="2"/>
    </font>
    <font>
      <sz val="9"/>
      <color theme="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5373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8" fillId="0" borderId="0"/>
  </cellStyleXfs>
  <cellXfs count="259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 vertical="center"/>
    </xf>
    <xf numFmtId="0" fontId="1" fillId="0" borderId="7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8" xfId="0" applyFont="1" applyBorder="1" applyAlignment="1">
      <alignment horizontal="left"/>
    </xf>
    <xf numFmtId="0" fontId="1" fillId="0" borderId="9" xfId="0" applyFont="1" applyBorder="1" applyAlignment="1">
      <alignment horizontal="left"/>
    </xf>
    <xf numFmtId="0" fontId="1" fillId="0" borderId="10" xfId="0" applyFont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12" xfId="0" applyFont="1" applyBorder="1" applyAlignment="1">
      <alignment horizontal="left"/>
    </xf>
    <xf numFmtId="0" fontId="3" fillId="0" borderId="9" xfId="0" applyFont="1" applyBorder="1" applyAlignment="1">
      <alignment horizontal="left"/>
    </xf>
    <xf numFmtId="0" fontId="2" fillId="0" borderId="0" xfId="0" applyFont="1" applyAlignment="1">
      <alignment horizontal="center"/>
    </xf>
    <xf numFmtId="0" fontId="3" fillId="0" borderId="10" xfId="0" applyFont="1" applyBorder="1" applyAlignment="1">
      <alignment horizontal="left"/>
    </xf>
    <xf numFmtId="0" fontId="6" fillId="0" borderId="0" xfId="0" applyFont="1" applyAlignment="1">
      <alignment horizontal="left" vertical="center"/>
    </xf>
    <xf numFmtId="0" fontId="1" fillId="0" borderId="9" xfId="0" applyFont="1" applyBorder="1"/>
    <xf numFmtId="0" fontId="1" fillId="0" borderId="10" xfId="0" applyFont="1" applyBorder="1"/>
    <xf numFmtId="0" fontId="7" fillId="0" borderId="0" xfId="0" applyFont="1" applyAlignment="1">
      <alignment horizontal="left"/>
    </xf>
    <xf numFmtId="0" fontId="8" fillId="0" borderId="0" xfId="1"/>
    <xf numFmtId="0" fontId="10" fillId="0" borderId="0" xfId="1" applyFont="1"/>
    <xf numFmtId="0" fontId="11" fillId="0" borderId="0" xfId="1" applyFont="1" applyAlignment="1">
      <alignment horizontal="left"/>
    </xf>
    <xf numFmtId="0" fontId="12" fillId="2" borderId="0" xfId="1" applyFont="1" applyFill="1"/>
    <xf numFmtId="0" fontId="14" fillId="0" borderId="0" xfId="1" applyFont="1" applyAlignment="1">
      <alignment horizontal="center"/>
    </xf>
    <xf numFmtId="0" fontId="8" fillId="0" borderId="0" xfId="1" applyAlignment="1">
      <alignment horizontal="center"/>
    </xf>
    <xf numFmtId="0" fontId="16" fillId="0" borderId="0" xfId="1" applyFont="1" applyAlignment="1">
      <alignment horizontal="center"/>
    </xf>
    <xf numFmtId="0" fontId="17" fillId="0" borderId="0" xfId="1" applyFont="1"/>
    <xf numFmtId="0" fontId="9" fillId="0" borderId="0" xfId="1" applyFont="1"/>
    <xf numFmtId="0" fontId="11" fillId="0" borderId="0" xfId="1" applyFont="1"/>
    <xf numFmtId="0" fontId="8" fillId="2" borderId="0" xfId="1" applyFill="1"/>
    <xf numFmtId="0" fontId="12" fillId="0" borderId="0" xfId="1" applyFont="1"/>
    <xf numFmtId="0" fontId="19" fillId="8" borderId="1" xfId="1" applyFont="1" applyFill="1" applyBorder="1" applyAlignment="1">
      <alignment horizontal="center"/>
    </xf>
    <xf numFmtId="0" fontId="19" fillId="0" borderId="0" xfId="1" applyFont="1" applyAlignment="1">
      <alignment horizontal="center"/>
    </xf>
    <xf numFmtId="14" fontId="23" fillId="5" borderId="1" xfId="1" applyNumberFormat="1" applyFont="1" applyFill="1" applyBorder="1" applyAlignment="1">
      <alignment horizontal="center"/>
    </xf>
    <xf numFmtId="0" fontId="23" fillId="5" borderId="1" xfId="1" applyFont="1" applyFill="1" applyBorder="1" applyAlignment="1">
      <alignment horizontal="center"/>
    </xf>
    <xf numFmtId="0" fontId="15" fillId="8" borderId="1" xfId="1" applyFont="1" applyFill="1" applyBorder="1" applyAlignment="1">
      <alignment horizontal="center"/>
    </xf>
    <xf numFmtId="0" fontId="19" fillId="5" borderId="1" xfId="1" applyFont="1" applyFill="1" applyBorder="1" applyAlignment="1">
      <alignment horizontal="center"/>
    </xf>
    <xf numFmtId="0" fontId="8" fillId="5" borderId="1" xfId="1" applyFill="1" applyBorder="1" applyAlignment="1">
      <alignment horizontal="center"/>
    </xf>
    <xf numFmtId="16" fontId="19" fillId="5" borderId="1" xfId="1" applyNumberFormat="1" applyFont="1" applyFill="1" applyBorder="1" applyAlignment="1">
      <alignment horizontal="center"/>
    </xf>
    <xf numFmtId="17" fontId="19" fillId="5" borderId="1" xfId="1" applyNumberFormat="1" applyFont="1" applyFill="1" applyBorder="1" applyAlignment="1">
      <alignment horizontal="center"/>
    </xf>
    <xf numFmtId="0" fontId="10" fillId="9" borderId="1" xfId="1" applyFont="1" applyFill="1" applyBorder="1" applyAlignment="1">
      <alignment horizontal="center"/>
    </xf>
    <xf numFmtId="164" fontId="8" fillId="0" borderId="0" xfId="1" applyNumberFormat="1" applyAlignment="1">
      <alignment horizontal="center"/>
    </xf>
    <xf numFmtId="0" fontId="15" fillId="9" borderId="1" xfId="1" applyFont="1" applyFill="1" applyBorder="1" applyAlignment="1">
      <alignment horizontal="center"/>
    </xf>
    <xf numFmtId="0" fontId="10" fillId="4" borderId="1" xfId="1" applyFont="1" applyFill="1" applyBorder="1" applyAlignment="1">
      <alignment horizontal="center"/>
    </xf>
    <xf numFmtId="0" fontId="25" fillId="0" borderId="0" xfId="1" applyFont="1"/>
    <xf numFmtId="0" fontId="28" fillId="2" borderId="16" xfId="1" applyFont="1" applyFill="1" applyBorder="1"/>
    <xf numFmtId="0" fontId="29" fillId="2" borderId="16" xfId="1" applyFont="1" applyFill="1" applyBorder="1"/>
    <xf numFmtId="0" fontId="30" fillId="0" borderId="0" xfId="1" applyFont="1"/>
    <xf numFmtId="0" fontId="14" fillId="0" borderId="0" xfId="1" applyFont="1"/>
    <xf numFmtId="0" fontId="16" fillId="0" borderId="0" xfId="1" applyFont="1"/>
    <xf numFmtId="0" fontId="20" fillId="0" borderId="0" xfId="1" applyFont="1"/>
    <xf numFmtId="0" fontId="8" fillId="0" borderId="0" xfId="1" applyAlignment="1">
      <alignment vertical="center"/>
    </xf>
    <xf numFmtId="0" fontId="19" fillId="0" borderId="0" xfId="1" applyFont="1" applyAlignment="1">
      <alignment horizontal="center" vertical="center" wrapText="1"/>
    </xf>
    <xf numFmtId="0" fontId="9" fillId="0" borderId="0" xfId="0" applyFont="1"/>
    <xf numFmtId="0" fontId="0" fillId="0" borderId="0" xfId="0" applyAlignment="1">
      <alignment horizontal="right"/>
    </xf>
    <xf numFmtId="0" fontId="1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1" fillId="0" borderId="0" xfId="0" applyFont="1"/>
    <xf numFmtId="15" fontId="14" fillId="0" borderId="0" xfId="1" applyNumberFormat="1" applyFont="1" applyAlignment="1">
      <alignment horizontal="center"/>
    </xf>
    <xf numFmtId="0" fontId="22" fillId="4" borderId="0" xfId="1" applyFont="1" applyFill="1" applyAlignment="1">
      <alignment horizontal="center" vertical="center"/>
    </xf>
    <xf numFmtId="49" fontId="13" fillId="3" borderId="6" xfId="1" applyNumberFormat="1" applyFont="1" applyFill="1" applyBorder="1" applyAlignment="1">
      <alignment horizontal="center" vertical="center"/>
    </xf>
    <xf numFmtId="0" fontId="8" fillId="0" borderId="0" xfId="0" applyFont="1"/>
    <xf numFmtId="2" fontId="0" fillId="0" borderId="0" xfId="0" applyNumberFormat="1"/>
    <xf numFmtId="0" fontId="15" fillId="3" borderId="0" xfId="1" applyFont="1" applyFill="1" applyAlignment="1">
      <alignment horizontal="center"/>
    </xf>
    <xf numFmtId="0" fontId="13" fillId="3" borderId="0" xfId="1" applyFont="1" applyFill="1" applyAlignment="1">
      <alignment horizontal="center"/>
    </xf>
    <xf numFmtId="2" fontId="8" fillId="0" borderId="0" xfId="1" applyNumberFormat="1"/>
    <xf numFmtId="1" fontId="8" fillId="0" borderId="0" xfId="1" applyNumberFormat="1"/>
    <xf numFmtId="0" fontId="18" fillId="0" borderId="1" xfId="1" applyFont="1" applyBorder="1" applyAlignment="1">
      <alignment horizontal="center" vertical="center"/>
    </xf>
    <xf numFmtId="1" fontId="8" fillId="0" borderId="1" xfId="1" applyNumberFormat="1" applyBorder="1" applyAlignment="1">
      <alignment horizontal="center" vertical="center"/>
    </xf>
    <xf numFmtId="0" fontId="8" fillId="0" borderId="1" xfId="1" applyBorder="1" applyAlignment="1">
      <alignment horizontal="center" vertical="center"/>
    </xf>
    <xf numFmtId="0" fontId="31" fillId="0" borderId="1" xfId="1" applyFont="1" applyBorder="1" applyAlignment="1">
      <alignment horizontal="center" vertical="center"/>
    </xf>
    <xf numFmtId="14" fontId="8" fillId="0" borderId="1" xfId="1" applyNumberFormat="1" applyBorder="1" applyAlignment="1">
      <alignment horizontal="center" vertical="center"/>
    </xf>
    <xf numFmtId="0" fontId="19" fillId="0" borderId="1" xfId="1" applyFont="1" applyBorder="1" applyAlignment="1">
      <alignment horizontal="center" vertical="center" wrapText="1"/>
    </xf>
    <xf numFmtId="0" fontId="31" fillId="0" borderId="1" xfId="1" applyFont="1" applyBorder="1" applyAlignment="1">
      <alignment vertical="center"/>
    </xf>
    <xf numFmtId="0" fontId="8" fillId="0" borderId="1" xfId="1" applyBorder="1" applyAlignment="1">
      <alignment vertical="center"/>
    </xf>
    <xf numFmtId="49" fontId="13" fillId="3" borderId="1" xfId="1" applyNumberFormat="1" applyFont="1" applyFill="1" applyBorder="1" applyAlignment="1">
      <alignment horizontal="center" vertical="center"/>
    </xf>
    <xf numFmtId="0" fontId="8" fillId="0" borderId="0" xfId="1" applyAlignment="1">
      <alignment horizontal="center" vertical="center"/>
    </xf>
    <xf numFmtId="0" fontId="15" fillId="5" borderId="1" xfId="1" applyFont="1" applyFill="1" applyBorder="1" applyAlignment="1">
      <alignment horizontal="center" vertical="center" wrapText="1"/>
    </xf>
    <xf numFmtId="165" fontId="8" fillId="5" borderId="1" xfId="1" applyNumberFormat="1" applyFill="1" applyBorder="1" applyAlignment="1">
      <alignment horizontal="center"/>
    </xf>
    <xf numFmtId="165" fontId="10" fillId="9" borderId="1" xfId="1" applyNumberFormat="1" applyFont="1" applyFill="1" applyBorder="1" applyAlignment="1">
      <alignment horizontal="center"/>
    </xf>
    <xf numFmtId="1" fontId="10" fillId="9" borderId="1" xfId="1" applyNumberFormat="1" applyFont="1" applyFill="1" applyBorder="1" applyAlignment="1">
      <alignment horizontal="center"/>
    </xf>
    <xf numFmtId="1" fontId="13" fillId="3" borderId="4" xfId="1" applyNumberFormat="1" applyFont="1" applyFill="1" applyBorder="1" applyAlignment="1">
      <alignment horizontal="center"/>
    </xf>
    <xf numFmtId="14" fontId="8" fillId="0" borderId="0" xfId="1" applyNumberFormat="1" applyAlignment="1">
      <alignment horizontal="center"/>
    </xf>
    <xf numFmtId="14" fontId="8" fillId="0" borderId="0" xfId="1" applyNumberFormat="1" applyAlignment="1">
      <alignment horizontal="center" vertical="center"/>
    </xf>
    <xf numFmtId="1" fontId="8" fillId="0" borderId="0" xfId="1" applyNumberFormat="1" applyAlignment="1">
      <alignment horizontal="center"/>
    </xf>
    <xf numFmtId="14" fontId="8" fillId="0" borderId="0" xfId="1" applyNumberFormat="1"/>
    <xf numFmtId="14" fontId="0" fillId="0" borderId="0" xfId="0" applyNumberFormat="1"/>
    <xf numFmtId="0" fontId="36" fillId="0" borderId="0" xfId="0" applyFont="1"/>
    <xf numFmtId="14" fontId="8" fillId="0" borderId="1" xfId="1" applyNumberForma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8" fillId="0" borderId="0" xfId="1" applyAlignment="1">
      <alignment horizontal="left"/>
    </xf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2" fillId="2" borderId="0" xfId="1" applyFont="1" applyFill="1" applyAlignment="1">
      <alignment horizontal="center"/>
    </xf>
    <xf numFmtId="0" fontId="17" fillId="0" borderId="0" xfId="1" applyFont="1" applyAlignment="1">
      <alignment horizontal="center"/>
    </xf>
    <xf numFmtId="0" fontId="8" fillId="0" borderId="15" xfId="1" applyBorder="1"/>
    <xf numFmtId="0" fontId="37" fillId="2" borderId="16" xfId="1" applyFont="1" applyFill="1" applyBorder="1"/>
    <xf numFmtId="0" fontId="1" fillId="0" borderId="0" xfId="0" applyFont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0" fontId="38" fillId="0" borderId="4" xfId="0" applyFont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0" fontId="33" fillId="0" borderId="0" xfId="0" applyFont="1" applyAlignment="1">
      <alignment horizontal="left" vertical="center" wrapText="1"/>
    </xf>
    <xf numFmtId="0" fontId="33" fillId="11" borderId="0" xfId="0" applyFont="1" applyFill="1" applyAlignment="1">
      <alignment horizontal="left" vertical="center"/>
    </xf>
    <xf numFmtId="0" fontId="34" fillId="11" borderId="0" xfId="0" applyFont="1" applyFill="1" applyAlignment="1">
      <alignment horizontal="left" vertical="center" wrapText="1"/>
    </xf>
    <xf numFmtId="0" fontId="34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38" fillId="13" borderId="4" xfId="0" applyFont="1" applyFill="1" applyBorder="1" applyAlignment="1">
      <alignment horizontal="center" vertical="center"/>
    </xf>
    <xf numFmtId="0" fontId="38" fillId="13" borderId="1" xfId="0" applyFont="1" applyFill="1" applyBorder="1" applyAlignment="1">
      <alignment horizontal="center" vertical="center"/>
    </xf>
    <xf numFmtId="0" fontId="0" fillId="11" borderId="0" xfId="0" applyFill="1" applyAlignment="1">
      <alignment horizontal="left"/>
    </xf>
    <xf numFmtId="14" fontId="0" fillId="0" borderId="0" xfId="0" applyNumberFormat="1" applyAlignment="1">
      <alignment horizontal="left"/>
    </xf>
    <xf numFmtId="0" fontId="39" fillId="0" borderId="4" xfId="0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19" fillId="0" borderId="1" xfId="1" applyFont="1" applyBorder="1" applyAlignment="1">
      <alignment horizontal="center" vertical="center"/>
    </xf>
    <xf numFmtId="0" fontId="40" fillId="6" borderId="1" xfId="1" applyFont="1" applyFill="1" applyBorder="1" applyAlignment="1">
      <alignment horizontal="center" vertical="center"/>
    </xf>
    <xf numFmtId="0" fontId="40" fillId="7" borderId="1" xfId="1" applyFont="1" applyFill="1" applyBorder="1" applyAlignment="1">
      <alignment horizontal="center" vertical="center"/>
    </xf>
    <xf numFmtId="0" fontId="40" fillId="6" borderId="1" xfId="1" applyFont="1" applyFill="1" applyBorder="1" applyAlignment="1">
      <alignment horizontal="center" vertical="center" wrapText="1"/>
    </xf>
    <xf numFmtId="1" fontId="19" fillId="0" borderId="1" xfId="1" applyNumberFormat="1" applyFont="1" applyBorder="1" applyAlignment="1">
      <alignment horizontal="center" vertical="center" wrapText="1"/>
    </xf>
    <xf numFmtId="1" fontId="19" fillId="0" borderId="1" xfId="1" applyNumberFormat="1" applyFont="1" applyBorder="1" applyAlignment="1">
      <alignment horizontal="center" vertical="center"/>
    </xf>
    <xf numFmtId="0" fontId="41" fillId="0" borderId="1" xfId="1" applyFont="1" applyBorder="1" applyAlignment="1">
      <alignment horizontal="center" vertical="center"/>
    </xf>
    <xf numFmtId="14" fontId="19" fillId="0" borderId="1" xfId="1" applyNumberFormat="1" applyFont="1" applyBorder="1" applyAlignment="1">
      <alignment horizontal="center" vertical="center"/>
    </xf>
    <xf numFmtId="0" fontId="19" fillId="0" borderId="1" xfId="1" applyFont="1" applyBorder="1" applyAlignment="1">
      <alignment vertical="center"/>
    </xf>
    <xf numFmtId="14" fontId="19" fillId="0" borderId="1" xfId="1" applyNumberFormat="1" applyFont="1" applyBorder="1" applyAlignment="1">
      <alignment horizontal="center" vertical="center" wrapText="1"/>
    </xf>
    <xf numFmtId="0" fontId="42" fillId="0" borderId="4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1" fontId="18" fillId="0" borderId="1" xfId="1" applyNumberFormat="1" applyFont="1" applyBorder="1" applyAlignment="1">
      <alignment horizontal="center" vertical="center" wrapText="1"/>
    </xf>
    <xf numFmtId="1" fontId="18" fillId="0" borderId="1" xfId="1" applyNumberFormat="1" applyFont="1" applyBorder="1" applyAlignment="1">
      <alignment horizontal="center" vertical="center"/>
    </xf>
    <xf numFmtId="0" fontId="18" fillId="0" borderId="1" xfId="1" applyFont="1" applyBorder="1" applyAlignment="1">
      <alignment horizontal="center" vertical="center" wrapText="1"/>
    </xf>
    <xf numFmtId="0" fontId="1" fillId="0" borderId="3" xfId="0" applyFont="1" applyBorder="1" applyAlignment="1">
      <alignment horizontal="justify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65" fontId="1" fillId="12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top"/>
    </xf>
    <xf numFmtId="0" fontId="1" fillId="0" borderId="0" xfId="0" applyFont="1" applyAlignment="1">
      <alignment horizontal="justify" wrapText="1"/>
    </xf>
    <xf numFmtId="0" fontId="1" fillId="12" borderId="1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justify" wrapText="1"/>
    </xf>
    <xf numFmtId="0" fontId="1" fillId="0" borderId="0" xfId="0" applyFont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12" borderId="4" xfId="0" applyFont="1" applyFill="1" applyBorder="1" applyAlignment="1">
      <alignment horizontal="center" vertical="center"/>
    </xf>
    <xf numFmtId="0" fontId="1" fillId="12" borderId="5" xfId="0" applyFont="1" applyFill="1" applyBorder="1" applyAlignment="1">
      <alignment horizontal="center" vertical="center"/>
    </xf>
    <xf numFmtId="0" fontId="1" fillId="12" borderId="6" xfId="0" applyFont="1" applyFill="1" applyBorder="1" applyAlignment="1">
      <alignment horizontal="center" vertical="center"/>
    </xf>
    <xf numFmtId="0" fontId="1" fillId="12" borderId="3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49" fontId="1" fillId="12" borderId="4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 wrapText="1"/>
    </xf>
    <xf numFmtId="0" fontId="1" fillId="12" borderId="3" xfId="0" applyFont="1" applyFill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1" fillId="0" borderId="3" xfId="0" applyFont="1" applyBorder="1" applyAlignment="1">
      <alignment horizontal="left" vertical="center"/>
    </xf>
    <xf numFmtId="0" fontId="32" fillId="11" borderId="0" xfId="0" applyFont="1" applyFill="1" applyAlignment="1">
      <alignment horizontal="center" vertical="center"/>
    </xf>
    <xf numFmtId="0" fontId="18" fillId="14" borderId="4" xfId="1" applyFont="1" applyFill="1" applyBorder="1" applyAlignment="1">
      <alignment horizontal="left" vertical="center" wrapText="1"/>
    </xf>
    <xf numFmtId="0" fontId="18" fillId="14" borderId="5" xfId="1" applyFont="1" applyFill="1" applyBorder="1" applyAlignment="1">
      <alignment horizontal="left" vertical="center" wrapText="1"/>
    </xf>
    <xf numFmtId="0" fontId="18" fillId="14" borderId="6" xfId="1" applyFont="1" applyFill="1" applyBorder="1" applyAlignment="1">
      <alignment horizontal="left" vertical="center" wrapText="1"/>
    </xf>
    <xf numFmtId="0" fontId="18" fillId="0" borderId="4" xfId="1" applyFont="1" applyBorder="1" applyAlignment="1">
      <alignment horizontal="center" vertical="center" wrapText="1"/>
    </xf>
    <xf numFmtId="0" fontId="18" fillId="0" borderId="6" xfId="1" applyFont="1" applyBorder="1" applyAlignment="1">
      <alignment horizontal="center" vertical="center" wrapText="1"/>
    </xf>
    <xf numFmtId="0" fontId="18" fillId="0" borderId="4" xfId="1" applyFont="1" applyBorder="1" applyAlignment="1">
      <alignment horizontal="center" vertical="center"/>
    </xf>
    <xf numFmtId="0" fontId="18" fillId="0" borderId="6" xfId="1" applyFont="1" applyBorder="1" applyAlignment="1">
      <alignment horizontal="center" vertical="center"/>
    </xf>
    <xf numFmtId="0" fontId="19" fillId="0" borderId="4" xfId="1" applyFont="1" applyBorder="1" applyAlignment="1">
      <alignment vertical="center"/>
    </xf>
    <xf numFmtId="0" fontId="19" fillId="0" borderId="6" xfId="1" applyFont="1" applyBorder="1" applyAlignment="1">
      <alignment vertical="center"/>
    </xf>
    <xf numFmtId="0" fontId="19" fillId="0" borderId="4" xfId="1" applyFont="1" applyBorder="1" applyAlignment="1">
      <alignment horizontal="center" vertical="center"/>
    </xf>
    <xf numFmtId="0" fontId="19" fillId="0" borderId="6" xfId="1" applyFont="1" applyBorder="1" applyAlignment="1">
      <alignment horizontal="center" vertical="center"/>
    </xf>
    <xf numFmtId="0" fontId="18" fillId="0" borderId="5" xfId="1" applyFont="1" applyBorder="1" applyAlignment="1">
      <alignment horizontal="center" vertical="center"/>
    </xf>
    <xf numFmtId="0" fontId="15" fillId="5" borderId="1" xfId="1" applyFont="1" applyFill="1" applyBorder="1" applyAlignment="1">
      <alignment horizontal="center" vertical="center" wrapText="1"/>
    </xf>
    <xf numFmtId="0" fontId="18" fillId="14" borderId="4" xfId="1" applyFont="1" applyFill="1" applyBorder="1" applyAlignment="1">
      <alignment vertical="center" wrapText="1"/>
    </xf>
    <xf numFmtId="0" fontId="18" fillId="14" borderId="5" xfId="1" applyFont="1" applyFill="1" applyBorder="1" applyAlignment="1">
      <alignment vertical="center" wrapText="1"/>
    </xf>
    <xf numFmtId="0" fontId="18" fillId="14" borderId="6" xfId="1" applyFont="1" applyFill="1" applyBorder="1" applyAlignment="1">
      <alignment vertical="center" wrapText="1"/>
    </xf>
    <xf numFmtId="0" fontId="15" fillId="5" borderId="7" xfId="1" applyFont="1" applyFill="1" applyBorder="1" applyAlignment="1">
      <alignment horizontal="center" vertical="center" wrapText="1"/>
    </xf>
    <xf numFmtId="0" fontId="15" fillId="5" borderId="2" xfId="1" applyFont="1" applyFill="1" applyBorder="1" applyAlignment="1">
      <alignment horizontal="center" vertical="center" wrapText="1"/>
    </xf>
    <xf numFmtId="0" fontId="15" fillId="5" borderId="11" xfId="1" applyFont="1" applyFill="1" applyBorder="1" applyAlignment="1">
      <alignment horizontal="center" vertical="center" wrapText="1"/>
    </xf>
    <xf numFmtId="0" fontId="15" fillId="5" borderId="3" xfId="1" applyFont="1" applyFill="1" applyBorder="1" applyAlignment="1">
      <alignment horizontal="center" vertical="center" wrapText="1"/>
    </xf>
    <xf numFmtId="0" fontId="19" fillId="14" borderId="4" xfId="1" applyFont="1" applyFill="1" applyBorder="1" applyAlignment="1">
      <alignment vertical="center"/>
    </xf>
    <xf numFmtId="0" fontId="19" fillId="14" borderId="5" xfId="1" applyFont="1" applyFill="1" applyBorder="1" applyAlignment="1">
      <alignment vertical="center"/>
    </xf>
    <xf numFmtId="0" fontId="19" fillId="14" borderId="6" xfId="1" applyFont="1" applyFill="1" applyBorder="1" applyAlignment="1">
      <alignment vertical="center"/>
    </xf>
    <xf numFmtId="0" fontId="18" fillId="0" borderId="1" xfId="1" applyFont="1" applyBorder="1" applyAlignment="1">
      <alignment horizontal="left" vertical="center"/>
    </xf>
    <xf numFmtId="0" fontId="8" fillId="0" borderId="1" xfId="1" applyBorder="1" applyAlignment="1">
      <alignment horizontal="left" vertical="center"/>
    </xf>
    <xf numFmtId="0" fontId="21" fillId="2" borderId="0" xfId="1" applyFont="1" applyFill="1" applyAlignment="1">
      <alignment horizontal="left"/>
    </xf>
    <xf numFmtId="0" fontId="21" fillId="2" borderId="10" xfId="1" applyFont="1" applyFill="1" applyBorder="1" applyAlignment="1">
      <alignment horizontal="left"/>
    </xf>
    <xf numFmtId="0" fontId="15" fillId="5" borderId="1" xfId="1" applyFont="1" applyFill="1" applyBorder="1" applyAlignment="1">
      <alignment horizontal="center" vertical="center"/>
    </xf>
    <xf numFmtId="0" fontId="13" fillId="12" borderId="4" xfId="1" applyFont="1" applyFill="1" applyBorder="1" applyAlignment="1">
      <alignment horizontal="center"/>
    </xf>
    <xf numFmtId="0" fontId="13" fillId="12" borderId="5" xfId="1" applyFont="1" applyFill="1" applyBorder="1" applyAlignment="1">
      <alignment horizontal="center"/>
    </xf>
    <xf numFmtId="0" fontId="13" fillId="12" borderId="6" xfId="1" applyFont="1" applyFill="1" applyBorder="1" applyAlignment="1">
      <alignment horizontal="center"/>
    </xf>
    <xf numFmtId="0" fontId="15" fillId="3" borderId="4" xfId="1" applyFont="1" applyFill="1" applyBorder="1" applyAlignment="1">
      <alignment horizontal="center"/>
    </xf>
    <xf numFmtId="0" fontId="15" fillId="3" borderId="5" xfId="1" applyFont="1" applyFill="1" applyBorder="1" applyAlignment="1">
      <alignment horizontal="center"/>
    </xf>
    <xf numFmtId="0" fontId="15" fillId="3" borderId="6" xfId="1" applyFont="1" applyFill="1" applyBorder="1" applyAlignment="1">
      <alignment horizontal="center"/>
    </xf>
    <xf numFmtId="0" fontId="13" fillId="13" borderId="4" xfId="1" applyFont="1" applyFill="1" applyBorder="1" applyAlignment="1">
      <alignment horizontal="center"/>
    </xf>
    <xf numFmtId="0" fontId="13" fillId="13" borderId="5" xfId="1" applyFont="1" applyFill="1" applyBorder="1" applyAlignment="1">
      <alignment horizontal="center"/>
    </xf>
    <xf numFmtId="0" fontId="13" fillId="13" borderId="6" xfId="1" applyFont="1" applyFill="1" applyBorder="1" applyAlignment="1">
      <alignment horizontal="center"/>
    </xf>
    <xf numFmtId="0" fontId="19" fillId="0" borderId="4" xfId="1" applyFont="1" applyBorder="1" applyAlignment="1">
      <alignment horizontal="center" vertical="center" wrapText="1"/>
    </xf>
    <xf numFmtId="0" fontId="19" fillId="0" borderId="6" xfId="1" applyFont="1" applyBorder="1" applyAlignment="1">
      <alignment horizontal="center" vertical="center" wrapText="1"/>
    </xf>
    <xf numFmtId="0" fontId="15" fillId="5" borderId="8" xfId="1" applyFont="1" applyFill="1" applyBorder="1" applyAlignment="1">
      <alignment horizontal="center" vertical="center" wrapText="1"/>
    </xf>
    <xf numFmtId="0" fontId="18" fillId="0" borderId="1" xfId="1" applyFont="1" applyBorder="1" applyAlignment="1">
      <alignment horizontal="center" vertical="center"/>
    </xf>
    <xf numFmtId="0" fontId="14" fillId="3" borderId="4" xfId="1" applyFont="1" applyFill="1" applyBorder="1" applyAlignment="1">
      <alignment horizontal="center" vertical="center"/>
    </xf>
    <xf numFmtId="0" fontId="14" fillId="3" borderId="5" xfId="1" applyFont="1" applyFill="1" applyBorder="1" applyAlignment="1">
      <alignment horizontal="center" vertical="center"/>
    </xf>
    <xf numFmtId="0" fontId="14" fillId="3" borderId="6" xfId="1" applyFont="1" applyFill="1" applyBorder="1" applyAlignment="1">
      <alignment horizontal="center" vertical="center"/>
    </xf>
    <xf numFmtId="0" fontId="14" fillId="3" borderId="4" xfId="1" applyFont="1" applyFill="1" applyBorder="1" applyAlignment="1">
      <alignment horizontal="center"/>
    </xf>
    <xf numFmtId="0" fontId="14" fillId="3" borderId="5" xfId="1" applyFont="1" applyFill="1" applyBorder="1" applyAlignment="1">
      <alignment horizontal="center"/>
    </xf>
    <xf numFmtId="0" fontId="14" fillId="3" borderId="6" xfId="1" applyFont="1" applyFill="1" applyBorder="1" applyAlignment="1">
      <alignment horizontal="center"/>
    </xf>
    <xf numFmtId="0" fontId="10" fillId="0" borderId="3" xfId="1" applyFont="1" applyBorder="1" applyAlignment="1">
      <alignment horizontal="center"/>
    </xf>
    <xf numFmtId="0" fontId="20" fillId="8" borderId="4" xfId="1" applyFont="1" applyFill="1" applyBorder="1" applyAlignment="1">
      <alignment horizontal="center"/>
    </xf>
    <xf numFmtId="0" fontId="20" fillId="8" borderId="5" xfId="1" applyFont="1" applyFill="1" applyBorder="1" applyAlignment="1">
      <alignment horizontal="center"/>
    </xf>
    <xf numFmtId="0" fontId="20" fillId="8" borderId="6" xfId="1" applyFont="1" applyFill="1" applyBorder="1" applyAlignment="1">
      <alignment horizontal="center"/>
    </xf>
    <xf numFmtId="0" fontId="15" fillId="8" borderId="1" xfId="1" applyFont="1" applyFill="1" applyBorder="1" applyAlignment="1">
      <alignment horizontal="center"/>
    </xf>
    <xf numFmtId="0" fontId="19" fillId="8" borderId="1" xfId="1" applyFont="1" applyFill="1" applyBorder="1" applyAlignment="1">
      <alignment horizontal="center"/>
    </xf>
    <xf numFmtId="0" fontId="15" fillId="8" borderId="16" xfId="1" applyFont="1" applyFill="1" applyBorder="1" applyAlignment="1">
      <alignment horizontal="center"/>
    </xf>
    <xf numFmtId="0" fontId="19" fillId="8" borderId="16" xfId="1" applyFont="1" applyFill="1" applyBorder="1" applyAlignment="1">
      <alignment horizontal="center"/>
    </xf>
    <xf numFmtId="0" fontId="8" fillId="5" borderId="4" xfId="1" applyFill="1" applyBorder="1" applyAlignment="1">
      <alignment horizontal="center" vertical="center" wrapText="1" shrinkToFit="1"/>
    </xf>
    <xf numFmtId="0" fontId="8" fillId="5" borderId="6" xfId="1" applyFill="1" applyBorder="1" applyAlignment="1">
      <alignment horizontal="center" vertical="center" wrapText="1" shrinkToFit="1"/>
    </xf>
    <xf numFmtId="0" fontId="19" fillId="5" borderId="1" xfId="1" applyFont="1" applyFill="1" applyBorder="1" applyAlignment="1">
      <alignment horizontal="center"/>
    </xf>
    <xf numFmtId="0" fontId="10" fillId="9" borderId="4" xfId="1" applyFont="1" applyFill="1" applyBorder="1" applyAlignment="1">
      <alignment horizontal="center"/>
    </xf>
    <xf numFmtId="0" fontId="10" fillId="9" borderId="6" xfId="1" applyFont="1" applyFill="1" applyBorder="1" applyAlignment="1">
      <alignment horizontal="center"/>
    </xf>
    <xf numFmtId="0" fontId="19" fillId="0" borderId="0" xfId="1" applyFont="1" applyAlignment="1">
      <alignment horizontal="center"/>
    </xf>
    <xf numFmtId="0" fontId="24" fillId="5" borderId="4" xfId="1" applyFont="1" applyFill="1" applyBorder="1" applyAlignment="1">
      <alignment horizontal="center" vertical="center" wrapText="1" shrinkToFit="1"/>
    </xf>
    <xf numFmtId="0" fontId="24" fillId="5" borderId="6" xfId="1" applyFont="1" applyFill="1" applyBorder="1" applyAlignment="1">
      <alignment horizontal="center" vertical="center" wrapText="1" shrinkToFit="1"/>
    </xf>
    <xf numFmtId="0" fontId="15" fillId="9" borderId="1" xfId="1" applyFont="1" applyFill="1" applyBorder="1" applyAlignment="1">
      <alignment horizontal="center"/>
    </xf>
    <xf numFmtId="0" fontId="26" fillId="5" borderId="19" xfId="1" applyFont="1" applyFill="1" applyBorder="1" applyAlignment="1">
      <alignment horizontal="justify" vertical="justify" wrapText="1"/>
    </xf>
    <xf numFmtId="0" fontId="26" fillId="5" borderId="0" xfId="1" applyFont="1" applyFill="1" applyAlignment="1">
      <alignment horizontal="justify" vertical="justify" wrapText="1"/>
    </xf>
    <xf numFmtId="0" fontId="9" fillId="0" borderId="0" xfId="1" applyFont="1" applyAlignment="1">
      <alignment horizontal="center"/>
    </xf>
    <xf numFmtId="0" fontId="11" fillId="0" borderId="0" xfId="1" applyFont="1" applyAlignment="1">
      <alignment horizontal="center"/>
    </xf>
    <xf numFmtId="0" fontId="30" fillId="0" borderId="0" xfId="1" applyFont="1" applyAlignment="1">
      <alignment horizontal="center"/>
    </xf>
    <xf numFmtId="0" fontId="20" fillId="0" borderId="4" xfId="1" applyFont="1" applyBorder="1" applyAlignment="1">
      <alignment horizontal="center"/>
    </xf>
    <xf numFmtId="0" fontId="20" fillId="0" borderId="5" xfId="1" applyFont="1" applyBorder="1" applyAlignment="1">
      <alignment horizontal="center"/>
    </xf>
    <xf numFmtId="0" fontId="20" fillId="0" borderId="6" xfId="1" applyFont="1" applyBorder="1" applyAlignment="1">
      <alignment horizontal="center"/>
    </xf>
    <xf numFmtId="0" fontId="26" fillId="5" borderId="17" xfId="1" applyFont="1" applyFill="1" applyBorder="1" applyAlignment="1">
      <alignment horizontal="justify" vertical="top" wrapText="1"/>
    </xf>
    <xf numFmtId="0" fontId="27" fillId="5" borderId="15" xfId="1" applyFont="1" applyFill="1" applyBorder="1" applyAlignment="1">
      <alignment horizontal="justify" vertical="top" wrapText="1"/>
    </xf>
    <xf numFmtId="0" fontId="27" fillId="5" borderId="18" xfId="1" applyFont="1" applyFill="1" applyBorder="1" applyAlignment="1">
      <alignment horizontal="justify" vertical="top" wrapText="1"/>
    </xf>
    <xf numFmtId="0" fontId="27" fillId="5" borderId="19" xfId="1" applyFont="1" applyFill="1" applyBorder="1" applyAlignment="1">
      <alignment horizontal="justify" vertical="top" wrapText="1"/>
    </xf>
    <xf numFmtId="0" fontId="27" fillId="5" borderId="0" xfId="1" applyFont="1" applyFill="1" applyAlignment="1">
      <alignment horizontal="justify" vertical="top" wrapText="1"/>
    </xf>
    <xf numFmtId="0" fontId="27" fillId="5" borderId="20" xfId="1" applyFont="1" applyFill="1" applyBorder="1" applyAlignment="1">
      <alignment horizontal="justify" vertical="top" wrapText="1"/>
    </xf>
    <xf numFmtId="0" fontId="27" fillId="5" borderId="21" xfId="1" applyFont="1" applyFill="1" applyBorder="1" applyAlignment="1">
      <alignment horizontal="justify" vertical="top" wrapText="1"/>
    </xf>
    <xf numFmtId="0" fontId="27" fillId="5" borderId="14" xfId="1" applyFont="1" applyFill="1" applyBorder="1" applyAlignment="1">
      <alignment horizontal="justify" vertical="top" wrapText="1"/>
    </xf>
    <xf numFmtId="0" fontId="27" fillId="5" borderId="22" xfId="1" applyFont="1" applyFill="1" applyBorder="1" applyAlignment="1">
      <alignment horizontal="justify" vertical="top" wrapText="1"/>
    </xf>
    <xf numFmtId="14" fontId="14" fillId="10" borderId="1" xfId="1" applyNumberFormat="1" applyFont="1" applyFill="1" applyBorder="1" applyAlignment="1">
      <alignment horizontal="center"/>
    </xf>
    <xf numFmtId="0" fontId="14" fillId="10" borderId="1" xfId="1" applyFont="1" applyFill="1" applyBorder="1" applyAlignment="1">
      <alignment horizontal="center"/>
    </xf>
    <xf numFmtId="0" fontId="1" fillId="12" borderId="4" xfId="0" applyFont="1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165" fontId="1" fillId="12" borderId="4" xfId="0" applyNumberFormat="1" applyFont="1" applyFill="1" applyBorder="1" applyAlignment="1">
      <alignment horizontal="center" vertical="center"/>
    </xf>
    <xf numFmtId="165" fontId="1" fillId="12" borderId="5" xfId="0" applyNumberFormat="1" applyFont="1" applyFill="1" applyBorder="1" applyAlignment="1">
      <alignment horizontal="center" vertical="center"/>
    </xf>
    <xf numFmtId="165" fontId="1" fillId="12" borderId="6" xfId="0" applyNumberFormat="1" applyFont="1" applyFill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70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s-MX" sz="1200" b="1" i="0" baseline="0">
                <a:effectLst/>
              </a:rPr>
              <a:t>Curva epidémica del brote</a:t>
            </a:r>
            <a:endParaRPr lang="es-MX" sz="1200">
              <a:effectLst/>
            </a:endParaRPr>
          </a:p>
        </c:rich>
      </c:tx>
      <c:layout>
        <c:manualLayout>
          <c:xMode val="edge"/>
          <c:yMode val="edge"/>
          <c:x val="0.34180943479773285"/>
          <c:y val="1.892473246463347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6371223859132498E-2"/>
          <c:y val="0.15127976640621565"/>
          <c:w val="0.90374557687922807"/>
          <c:h val="0.500042841421918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ANALISIS_EPIDEM!$B$13</c:f>
              <c:strCache>
                <c:ptCount val="1"/>
                <c:pt idx="0">
                  <c:v>Casos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cat>
            <c:numRef>
              <c:f>[0]!DIAS_ANALISIS</c:f>
              <c:numCache>
                <c:formatCode>m/d/yyyy</c:formatCode>
                <c:ptCount val="1"/>
                <c:pt idx="0">
                  <c:v>45656</c:v>
                </c:pt>
              </c:numCache>
            </c:numRef>
          </c:cat>
          <c:val>
            <c:numRef>
              <c:f>[0]!CASOS_ANALISIS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33-4E56-9B84-68B9793C5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201216"/>
        <c:axId val="78203136"/>
      </c:barChart>
      <c:dateAx>
        <c:axId val="78201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Días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s-MX"/>
          </a:p>
        </c:txPr>
        <c:crossAx val="78203136"/>
        <c:crosses val="autoZero"/>
        <c:auto val="1"/>
        <c:lblOffset val="100"/>
        <c:baseTimeUnit val="days"/>
      </c:dateAx>
      <c:valAx>
        <c:axId val="782031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es-MX" sz="1000"/>
                  <a:t>Casos</a:t>
                </a:r>
              </a:p>
            </c:rich>
          </c:tx>
          <c:layout>
            <c:manualLayout>
              <c:xMode val="edge"/>
              <c:yMode val="edge"/>
              <c:x val="1.1930344456731429E-2"/>
              <c:y val="0.2194162539609688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s-MX"/>
          </a:p>
        </c:txPr>
        <c:crossAx val="78201216"/>
        <c:crosses val="autoZero"/>
        <c:crossBetween val="between"/>
      </c:valAx>
      <c:spPr>
        <a:solidFill>
          <a:schemeClr val="accent1">
            <a:lumMod val="75000"/>
          </a:schemeClr>
        </a:solidFill>
      </c:spPr>
    </c:plotArea>
    <c:legend>
      <c:legendPos val="b"/>
      <c:layout>
        <c:manualLayout>
          <c:xMode val="edge"/>
          <c:yMode val="edge"/>
          <c:x val="0.43842883590698589"/>
          <c:y val="0.90870865523384337"/>
          <c:w val="7.3012873839794115E-2"/>
          <c:h val="7.983927388632793E-2"/>
        </c:manualLayout>
      </c:layout>
      <c:overlay val="0"/>
      <c:txPr>
        <a:bodyPr/>
        <a:lstStyle/>
        <a:p>
          <a:pPr>
            <a:defRPr sz="900"/>
          </a:pPr>
          <a:endParaRPr lang="es-MX"/>
        </a:p>
      </c:txPr>
    </c:legend>
    <c:plotVisOnly val="1"/>
    <c:dispBlanksAs val="gap"/>
    <c:showDLblsOverMax val="0"/>
  </c:chart>
  <c:spPr>
    <a:solidFill>
      <a:srgbClr val="FFC000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800" b="1" i="0" baseline="0">
                <a:effectLst/>
              </a:rPr>
              <a:t>Curva epidémica del brote</a:t>
            </a:r>
            <a:endParaRPr lang="es-MX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ANALISIS_EPIDEM!$B$13</c:f>
              <c:strCache>
                <c:ptCount val="1"/>
                <c:pt idx="0">
                  <c:v>Casos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cat>
            <c:numRef>
              <c:f>[0]!DIAS_ANALISIS</c:f>
              <c:numCache>
                <c:formatCode>m/d/yyyy</c:formatCode>
                <c:ptCount val="1"/>
                <c:pt idx="0">
                  <c:v>45656</c:v>
                </c:pt>
              </c:numCache>
            </c:numRef>
          </c:cat>
          <c:val>
            <c:numRef>
              <c:f>[0]!CASOS_ANALISIS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3E-46C7-A96F-AF1354E1A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179328"/>
        <c:axId val="85136512"/>
      </c:barChart>
      <c:dateAx>
        <c:axId val="78179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Días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MX"/>
          </a:p>
        </c:txPr>
        <c:crossAx val="85136512"/>
        <c:crosses val="autoZero"/>
        <c:auto val="1"/>
        <c:lblOffset val="100"/>
        <c:baseTimeUnit val="days"/>
      </c:dateAx>
      <c:valAx>
        <c:axId val="8513651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 sz="1100"/>
                </a:pPr>
                <a:r>
                  <a:rPr lang="es-MX" sz="1100"/>
                  <a:t>Casos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8179328"/>
        <c:crosses val="autoZero"/>
        <c:crossBetween val="between"/>
      </c:valAx>
      <c:spPr>
        <a:solidFill>
          <a:schemeClr val="accent1">
            <a:lumMod val="75000"/>
          </a:schemeClr>
        </a:solidFill>
      </c:spPr>
    </c:plotArea>
    <c:legend>
      <c:legendPos val="b"/>
      <c:overlay val="0"/>
      <c:txPr>
        <a:bodyPr/>
        <a:lstStyle/>
        <a:p>
          <a:pPr>
            <a:defRPr sz="1100"/>
          </a:pPr>
          <a:endParaRPr lang="es-MX"/>
        </a:p>
      </c:txPr>
    </c:legend>
    <c:plotVisOnly val="1"/>
    <c:dispBlanksAs val="gap"/>
    <c:showDLblsOverMax val="0"/>
  </c:chart>
  <c:spPr>
    <a:solidFill>
      <a:srgbClr val="FFC000"/>
    </a:solid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106017</xdr:colOff>
      <xdr:row>1</xdr:row>
      <xdr:rowOff>46382</xdr:rowOff>
    </xdr:from>
    <xdr:to>
      <xdr:col>5</xdr:col>
      <xdr:colOff>0</xdr:colOff>
      <xdr:row>3</xdr:row>
      <xdr:rowOff>39757</xdr:rowOff>
    </xdr:to>
    <xdr:grpSp>
      <xdr:nvGrpSpPr>
        <xdr:cNvPr id="2" name="Group 9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53642" y="189257"/>
          <a:ext cx="503583" cy="431525"/>
          <a:chOff x="192" y="192"/>
          <a:chExt cx="989" cy="692"/>
        </a:xfrm>
      </xdr:grpSpPr>
      <xdr:sp macro="" textlink="">
        <xdr:nvSpPr>
          <xdr:cNvPr id="3" name="Freeform 96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/>
          </xdr:cNvSpPr>
        </xdr:nvSpPr>
        <xdr:spPr bwMode="auto">
          <a:xfrm>
            <a:off x="598" y="495"/>
            <a:ext cx="427" cy="387"/>
          </a:xfrm>
          <a:custGeom>
            <a:avLst/>
            <a:gdLst>
              <a:gd name="T0" fmla="*/ 0 w 1296"/>
              <a:gd name="T1" fmla="*/ 0 h 1248"/>
              <a:gd name="T2" fmla="*/ 0 w 1296"/>
              <a:gd name="T3" fmla="*/ 0 h 1248"/>
              <a:gd name="T4" fmla="*/ 0 w 1296"/>
              <a:gd name="T5" fmla="*/ 0 h 1248"/>
              <a:gd name="T6" fmla="*/ 0 w 1296"/>
              <a:gd name="T7" fmla="*/ 0 h 1248"/>
              <a:gd name="T8" fmla="*/ 0 w 1296"/>
              <a:gd name="T9" fmla="*/ 0 h 1248"/>
              <a:gd name="T10" fmla="*/ 0 w 1296"/>
              <a:gd name="T11" fmla="*/ 0 h 1248"/>
              <a:gd name="T12" fmla="*/ 0 w 1296"/>
              <a:gd name="T13" fmla="*/ 0 h 1248"/>
              <a:gd name="T14" fmla="*/ 0 w 1296"/>
              <a:gd name="T15" fmla="*/ 0 h 1248"/>
              <a:gd name="T16" fmla="*/ 0 w 1296"/>
              <a:gd name="T17" fmla="*/ 0 h 1248"/>
              <a:gd name="T18" fmla="*/ 0 w 1296"/>
              <a:gd name="T19" fmla="*/ 0 h 1248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w 1296"/>
              <a:gd name="T31" fmla="*/ 0 h 1248"/>
              <a:gd name="T32" fmla="*/ 1296 w 1296"/>
              <a:gd name="T33" fmla="*/ 1248 h 1248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T30" t="T31" r="T32" b="T33"/>
            <a:pathLst>
              <a:path w="1296" h="1248">
                <a:moveTo>
                  <a:pt x="0" y="1248"/>
                </a:moveTo>
                <a:lnTo>
                  <a:pt x="468" y="1248"/>
                </a:lnTo>
                <a:lnTo>
                  <a:pt x="1078" y="347"/>
                </a:lnTo>
                <a:lnTo>
                  <a:pt x="1276" y="9"/>
                </a:lnTo>
                <a:lnTo>
                  <a:pt x="1294" y="0"/>
                </a:lnTo>
                <a:lnTo>
                  <a:pt x="1285" y="0"/>
                </a:lnTo>
                <a:lnTo>
                  <a:pt x="1294" y="9"/>
                </a:lnTo>
                <a:lnTo>
                  <a:pt x="1296" y="11"/>
                </a:lnTo>
                <a:lnTo>
                  <a:pt x="828" y="11"/>
                </a:lnTo>
                <a:lnTo>
                  <a:pt x="0" y="1248"/>
                </a:lnTo>
              </a:path>
            </a:pathLst>
          </a:custGeom>
          <a:solidFill>
            <a:srgbClr val="0066FF"/>
          </a:solidFill>
          <a:ln>
            <a:noFill/>
          </a:ln>
          <a:extLst>
            <a:ext uri="{91240B29-F687-4F45-9708-019B960494DF}">
              <a14:hiddenLine xmlns:a14="http://schemas.microsoft.com/office/drawing/2010/main" w="12700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4" name="Freeform 97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/>
          </xdr:cNvSpPr>
        </xdr:nvSpPr>
        <xdr:spPr bwMode="auto">
          <a:xfrm>
            <a:off x="199" y="350"/>
            <a:ext cx="816" cy="530"/>
          </a:xfrm>
          <a:custGeom>
            <a:avLst/>
            <a:gdLst>
              <a:gd name="T0" fmla="*/ 0 w 386"/>
              <a:gd name="T1" fmla="*/ 2147483647 h 299"/>
              <a:gd name="T2" fmla="*/ 2147483647 w 386"/>
              <a:gd name="T3" fmla="*/ 2147483647 h 299"/>
              <a:gd name="T4" fmla="*/ 2147483647 w 386"/>
              <a:gd name="T5" fmla="*/ 1053375932 h 299"/>
              <a:gd name="T6" fmla="*/ 2147483647 w 386"/>
              <a:gd name="T7" fmla="*/ 1053375932 h 299"/>
              <a:gd name="T8" fmla="*/ 2147483647 w 386"/>
              <a:gd name="T9" fmla="*/ 0 h 299"/>
              <a:gd name="T10" fmla="*/ 2147483647 w 386"/>
              <a:gd name="T11" fmla="*/ 0 h 299"/>
              <a:gd name="T12" fmla="*/ 2147483647 w 386"/>
              <a:gd name="T13" fmla="*/ 2147483647 h 299"/>
              <a:gd name="T14" fmla="*/ 0 w 386"/>
              <a:gd name="T15" fmla="*/ 2147483647 h 299"/>
              <a:gd name="T16" fmla="*/ 0 w 386"/>
              <a:gd name="T17" fmla="*/ 2147483647 h 299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386"/>
              <a:gd name="T28" fmla="*/ 0 h 299"/>
              <a:gd name="T29" fmla="*/ 386 w 386"/>
              <a:gd name="T30" fmla="*/ 299 h 299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386" h="299">
                <a:moveTo>
                  <a:pt x="0" y="298"/>
                </a:moveTo>
                <a:lnTo>
                  <a:pt x="167" y="298"/>
                </a:lnTo>
                <a:lnTo>
                  <a:pt x="307" y="65"/>
                </a:lnTo>
                <a:lnTo>
                  <a:pt x="385" y="65"/>
                </a:lnTo>
                <a:lnTo>
                  <a:pt x="346" y="0"/>
                </a:lnTo>
                <a:lnTo>
                  <a:pt x="273" y="0"/>
                </a:lnTo>
                <a:lnTo>
                  <a:pt x="133" y="234"/>
                </a:lnTo>
                <a:lnTo>
                  <a:pt x="0" y="234"/>
                </a:lnTo>
                <a:lnTo>
                  <a:pt x="0" y="298"/>
                </a:lnTo>
              </a:path>
            </a:pathLst>
          </a:custGeom>
          <a:solidFill>
            <a:srgbClr val="0066FF"/>
          </a:solidFill>
          <a:ln>
            <a:noFill/>
          </a:ln>
          <a:extLst>
            <a:ext uri="{91240B29-F687-4F45-9708-019B960494DF}">
              <a14:hiddenLine xmlns:a14="http://schemas.microsoft.com/office/drawing/2010/main" w="12700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5" name="Freeform 98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/>
          </xdr:cNvSpPr>
        </xdr:nvSpPr>
        <xdr:spPr bwMode="auto">
          <a:xfrm>
            <a:off x="192" y="192"/>
            <a:ext cx="712" cy="530"/>
          </a:xfrm>
          <a:custGeom>
            <a:avLst/>
            <a:gdLst>
              <a:gd name="T0" fmla="*/ 0 w 337"/>
              <a:gd name="T1" fmla="*/ 2147483647 h 299"/>
              <a:gd name="T2" fmla="*/ 2147483647 w 337"/>
              <a:gd name="T3" fmla="*/ 2147483647 h 299"/>
              <a:gd name="T4" fmla="*/ 2147483647 w 337"/>
              <a:gd name="T5" fmla="*/ 1053375932 h 299"/>
              <a:gd name="T6" fmla="*/ 2147483647 w 337"/>
              <a:gd name="T7" fmla="*/ 1053375932 h 299"/>
              <a:gd name="T8" fmla="*/ 2147483647 w 337"/>
              <a:gd name="T9" fmla="*/ 0 h 299"/>
              <a:gd name="T10" fmla="*/ 2147483647 w 337"/>
              <a:gd name="T11" fmla="*/ 0 h 299"/>
              <a:gd name="T12" fmla="*/ 2147483647 w 337"/>
              <a:gd name="T13" fmla="*/ 2147483647 h 299"/>
              <a:gd name="T14" fmla="*/ 0 w 337"/>
              <a:gd name="T15" fmla="*/ 2147483647 h 299"/>
              <a:gd name="T16" fmla="*/ 0 w 337"/>
              <a:gd name="T17" fmla="*/ 2147483647 h 299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337"/>
              <a:gd name="T28" fmla="*/ 0 h 299"/>
              <a:gd name="T29" fmla="*/ 337 w 337"/>
              <a:gd name="T30" fmla="*/ 299 h 299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337" h="299">
                <a:moveTo>
                  <a:pt x="0" y="298"/>
                </a:moveTo>
                <a:lnTo>
                  <a:pt x="122" y="298"/>
                </a:lnTo>
                <a:lnTo>
                  <a:pt x="263" y="65"/>
                </a:lnTo>
                <a:lnTo>
                  <a:pt x="336" y="65"/>
                </a:lnTo>
                <a:lnTo>
                  <a:pt x="296" y="0"/>
                </a:lnTo>
                <a:lnTo>
                  <a:pt x="224" y="0"/>
                </a:lnTo>
                <a:lnTo>
                  <a:pt x="83" y="239"/>
                </a:lnTo>
                <a:lnTo>
                  <a:pt x="0" y="239"/>
                </a:lnTo>
                <a:lnTo>
                  <a:pt x="0" y="298"/>
                </a:lnTo>
              </a:path>
            </a:pathLst>
          </a:custGeom>
          <a:solidFill>
            <a:srgbClr val="0066FF"/>
          </a:solidFill>
          <a:ln>
            <a:noFill/>
          </a:ln>
          <a:extLst>
            <a:ext uri="{91240B29-F687-4F45-9708-019B960494DF}">
              <a14:hiddenLine xmlns:a14="http://schemas.microsoft.com/office/drawing/2010/main" w="12700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6" name="Freeform 99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/>
          </xdr:cNvSpPr>
        </xdr:nvSpPr>
        <xdr:spPr bwMode="auto">
          <a:xfrm>
            <a:off x="809" y="715"/>
            <a:ext cx="239" cy="80"/>
          </a:xfrm>
          <a:custGeom>
            <a:avLst/>
            <a:gdLst>
              <a:gd name="T0" fmla="*/ 0 w 725"/>
              <a:gd name="T1" fmla="*/ 0 h 257"/>
              <a:gd name="T2" fmla="*/ 0 w 725"/>
              <a:gd name="T3" fmla="*/ 0 h 257"/>
              <a:gd name="T4" fmla="*/ 0 w 725"/>
              <a:gd name="T5" fmla="*/ 0 h 257"/>
              <a:gd name="T6" fmla="*/ 0 w 725"/>
              <a:gd name="T7" fmla="*/ 0 h 257"/>
              <a:gd name="T8" fmla="*/ 0 w 725"/>
              <a:gd name="T9" fmla="*/ 0 h 257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725"/>
              <a:gd name="T16" fmla="*/ 0 h 257"/>
              <a:gd name="T17" fmla="*/ 725 w 725"/>
              <a:gd name="T18" fmla="*/ 257 h 257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725" h="257">
                <a:moveTo>
                  <a:pt x="716" y="0"/>
                </a:moveTo>
                <a:lnTo>
                  <a:pt x="521" y="257"/>
                </a:lnTo>
                <a:lnTo>
                  <a:pt x="0" y="257"/>
                </a:lnTo>
                <a:lnTo>
                  <a:pt x="154" y="5"/>
                </a:lnTo>
                <a:lnTo>
                  <a:pt x="725" y="9"/>
                </a:lnTo>
              </a:path>
            </a:pathLst>
          </a:custGeom>
          <a:solidFill>
            <a:srgbClr val="0066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100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>
            <a:spLocks/>
          </xdr:cNvSpPr>
        </xdr:nvSpPr>
        <xdr:spPr bwMode="auto">
          <a:xfrm>
            <a:off x="905" y="613"/>
            <a:ext cx="276" cy="271"/>
          </a:xfrm>
          <a:custGeom>
            <a:avLst/>
            <a:gdLst>
              <a:gd name="T0" fmla="*/ 0 w 836"/>
              <a:gd name="T1" fmla="*/ 0 h 872"/>
              <a:gd name="T2" fmla="*/ 0 w 836"/>
              <a:gd name="T3" fmla="*/ 0 h 872"/>
              <a:gd name="T4" fmla="*/ 0 w 836"/>
              <a:gd name="T5" fmla="*/ 0 h 872"/>
              <a:gd name="T6" fmla="*/ 0 w 836"/>
              <a:gd name="T7" fmla="*/ 0 h 872"/>
              <a:gd name="T8" fmla="*/ 0 w 836"/>
              <a:gd name="T9" fmla="*/ 0 h 872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836"/>
              <a:gd name="T16" fmla="*/ 0 h 872"/>
              <a:gd name="T17" fmla="*/ 836 w 836"/>
              <a:gd name="T18" fmla="*/ 872 h 872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836" h="872">
                <a:moveTo>
                  <a:pt x="0" y="854"/>
                </a:moveTo>
                <a:lnTo>
                  <a:pt x="491" y="854"/>
                </a:lnTo>
                <a:lnTo>
                  <a:pt x="836" y="345"/>
                </a:lnTo>
                <a:lnTo>
                  <a:pt x="600" y="0"/>
                </a:lnTo>
                <a:lnTo>
                  <a:pt x="11" y="872"/>
                </a:lnTo>
              </a:path>
            </a:pathLst>
          </a:custGeom>
          <a:solidFill>
            <a:srgbClr val="0066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133350</xdr:colOff>
          <xdr:row>2</xdr:row>
          <xdr:rowOff>200025</xdr:rowOff>
        </xdr:from>
        <xdr:to>
          <xdr:col>61</xdr:col>
          <xdr:colOff>47625</xdr:colOff>
          <xdr:row>7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SEGUIMIENTO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0</xdr:colOff>
          <xdr:row>8</xdr:row>
          <xdr:rowOff>123825</xdr:rowOff>
        </xdr:from>
        <xdr:to>
          <xdr:col>61</xdr:col>
          <xdr:colOff>66675</xdr:colOff>
          <xdr:row>14</xdr:row>
          <xdr:rowOff>19050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0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17318</xdr:colOff>
      <xdr:row>59</xdr:row>
      <xdr:rowOff>60614</xdr:rowOff>
    </xdr:from>
    <xdr:to>
      <xdr:col>44</xdr:col>
      <xdr:colOff>51954</xdr:colOff>
      <xdr:row>77</xdr:row>
      <xdr:rowOff>95250</xdr:rowOff>
    </xdr:to>
    <xdr:graphicFrame macro="">
      <xdr:nvGraphicFramePr>
        <xdr:cNvPr id="11" name="10 Gráfico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1</xdr:row>
          <xdr:rowOff>0</xdr:rowOff>
        </xdr:from>
        <xdr:to>
          <xdr:col>8</xdr:col>
          <xdr:colOff>600075</xdr:colOff>
          <xdr:row>2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NUEVO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0</xdr:row>
          <xdr:rowOff>161925</xdr:rowOff>
        </xdr:from>
        <xdr:to>
          <xdr:col>12</xdr:col>
          <xdr:colOff>95250</xdr:colOff>
          <xdr:row>3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251460</xdr:colOff>
      <xdr:row>4</xdr:row>
      <xdr:rowOff>0</xdr:rowOff>
    </xdr:from>
    <xdr:to>
      <xdr:col>9</xdr:col>
      <xdr:colOff>335280</xdr:colOff>
      <xdr:row>5</xdr:row>
      <xdr:rowOff>38100</xdr:rowOff>
    </xdr:to>
    <xdr:sp macro="" textlink="">
      <xdr:nvSpPr>
        <xdr:cNvPr id="2" name="Text Box 5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6949440" y="67056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742950</xdr:colOff>
          <xdr:row>0</xdr:row>
          <xdr:rowOff>47625</xdr:rowOff>
        </xdr:from>
        <xdr:to>
          <xdr:col>4</xdr:col>
          <xdr:colOff>200025</xdr:colOff>
          <xdr:row>2</xdr:row>
          <xdr:rowOff>47625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76199</xdr:colOff>
      <xdr:row>32</xdr:row>
      <xdr:rowOff>0</xdr:rowOff>
    </xdr:from>
    <xdr:to>
      <xdr:col>15</xdr:col>
      <xdr:colOff>57149</xdr:colOff>
      <xdr:row>55</xdr:row>
      <xdr:rowOff>47625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257175</xdr:colOff>
          <xdr:row>1</xdr:row>
          <xdr:rowOff>57150</xdr:rowOff>
        </xdr:from>
        <xdr:to>
          <xdr:col>12</xdr:col>
          <xdr:colOff>152400</xdr:colOff>
          <xdr:row>4</xdr:row>
          <xdr:rowOff>95250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106680</xdr:colOff>
      <xdr:row>16</xdr:row>
      <xdr:rowOff>7620</xdr:rowOff>
    </xdr:from>
    <xdr:to>
      <xdr:col>10</xdr:col>
      <xdr:colOff>274320</xdr:colOff>
      <xdr:row>17</xdr:row>
      <xdr:rowOff>7620</xdr:rowOff>
    </xdr:to>
    <xdr:sp macro="" textlink="">
      <xdr:nvSpPr>
        <xdr:cNvPr id="3" name="4 Elips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rrowheads="1"/>
        </xdr:cNvSpPr>
      </xdr:nvSpPr>
      <xdr:spPr bwMode="auto">
        <a:xfrm>
          <a:off x="8121287" y="2674620"/>
          <a:ext cx="167640" cy="163286"/>
        </a:xfrm>
        <a:prstGeom prst="ellipse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114300</xdr:colOff>
      <xdr:row>17</xdr:row>
      <xdr:rowOff>152400</xdr:rowOff>
    </xdr:from>
    <xdr:to>
      <xdr:col>10</xdr:col>
      <xdr:colOff>281940</xdr:colOff>
      <xdr:row>18</xdr:row>
      <xdr:rowOff>152400</xdr:rowOff>
    </xdr:to>
    <xdr:sp macro="" textlink="">
      <xdr:nvSpPr>
        <xdr:cNvPr id="4" name="6 Elips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rrowheads="1"/>
        </xdr:cNvSpPr>
      </xdr:nvSpPr>
      <xdr:spPr bwMode="auto">
        <a:xfrm>
          <a:off x="6743700" y="2994660"/>
          <a:ext cx="167640" cy="160020"/>
        </a:xfrm>
        <a:prstGeom prst="ellipse">
          <a:avLst/>
        </a:prstGeom>
        <a:solidFill>
          <a:srgbClr val="00206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120847</xdr:colOff>
      <xdr:row>13</xdr:row>
      <xdr:rowOff>127313</xdr:rowOff>
    </xdr:from>
    <xdr:to>
      <xdr:col>10</xdr:col>
      <xdr:colOff>285751</xdr:colOff>
      <xdr:row>14</xdr:row>
      <xdr:rowOff>136071</xdr:rowOff>
    </xdr:to>
    <xdr:sp macro="" textlink="">
      <xdr:nvSpPr>
        <xdr:cNvPr id="2" name="2 Elips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rrowheads="1"/>
        </xdr:cNvSpPr>
      </xdr:nvSpPr>
      <xdr:spPr bwMode="auto">
        <a:xfrm>
          <a:off x="8135454" y="2304456"/>
          <a:ext cx="164904" cy="172044"/>
        </a:xfrm>
        <a:prstGeom prst="ellipse">
          <a:avLst/>
        </a:prstGeom>
        <a:solidFill>
          <a:srgbClr val="FF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598715</xdr:colOff>
      <xdr:row>26</xdr:row>
      <xdr:rowOff>54428</xdr:rowOff>
    </xdr:from>
    <xdr:to>
      <xdr:col>4</xdr:col>
      <xdr:colOff>763619</xdr:colOff>
      <xdr:row>27</xdr:row>
      <xdr:rowOff>63187</xdr:rowOff>
    </xdr:to>
    <xdr:sp macro="" textlink="">
      <xdr:nvSpPr>
        <xdr:cNvPr id="11" name="2 Elipse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>
          <a:spLocks noChangeArrowheads="1"/>
        </xdr:cNvSpPr>
      </xdr:nvSpPr>
      <xdr:spPr bwMode="auto">
        <a:xfrm>
          <a:off x="3592286" y="4313464"/>
          <a:ext cx="164904" cy="172044"/>
        </a:xfrm>
        <a:prstGeom prst="ellipse">
          <a:avLst/>
        </a:prstGeom>
        <a:solidFill>
          <a:srgbClr val="FF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2</xdr:col>
      <xdr:colOff>81644</xdr:colOff>
      <xdr:row>12</xdr:row>
      <xdr:rowOff>85953</xdr:rowOff>
    </xdr:from>
    <xdr:to>
      <xdr:col>8</xdr:col>
      <xdr:colOff>54429</xdr:colOff>
      <xdr:row>49</xdr:row>
      <xdr:rowOff>153125</xdr:rowOff>
    </xdr:to>
    <xdr:pic>
      <xdr:nvPicPr>
        <xdr:cNvPr id="6" name="Imagen 5" descr="C:\Users\DELL\Downloads\WhatsApp Image 2025-01-02 at 5.03.24 PM.jpeg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1" y="2058989"/>
          <a:ext cx="4993821" cy="61087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36285</xdr:colOff>
      <xdr:row>23</xdr:row>
      <xdr:rowOff>63499</xdr:rowOff>
    </xdr:from>
    <xdr:to>
      <xdr:col>4</xdr:col>
      <xdr:colOff>145142</xdr:colOff>
      <xdr:row>24</xdr:row>
      <xdr:rowOff>52614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097B100D-2C90-CAAA-BE48-82A6679D579F}"/>
            </a:ext>
          </a:extLst>
        </xdr:cNvPr>
        <xdr:cNvSpPr/>
      </xdr:nvSpPr>
      <xdr:spPr>
        <a:xfrm>
          <a:off x="3174999" y="3819070"/>
          <a:ext cx="108857" cy="152401"/>
        </a:xfrm>
        <a:prstGeom prst="ellipse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 kern="12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4"/>
  <dimension ref="A1:BI116"/>
  <sheetViews>
    <sheetView showGridLines="0" tabSelected="1" view="pageBreakPreview" zoomScaleNormal="100" zoomScaleSheetLayoutView="100" workbookViewId="0">
      <selection activeCell="BN20" sqref="BN20"/>
    </sheetView>
  </sheetViews>
  <sheetFormatPr baseColWidth="10" defaultColWidth="11.5703125" defaultRowHeight="11.25" customHeight="1" zeroHeight="1" x14ac:dyDescent="0.2"/>
  <cols>
    <col min="1" max="1" width="0.7109375" style="1" customWidth="1"/>
    <col min="2" max="135" width="2.28515625" style="1" customWidth="1"/>
    <col min="136" max="302" width="11.5703125" style="1" customWidth="1"/>
    <col min="303" max="16384" width="11.5703125" style="1"/>
  </cols>
  <sheetData>
    <row r="1" spans="1:61" x14ac:dyDescent="0.2"/>
    <row r="2" spans="1:61" ht="15.75" x14ac:dyDescent="0.25">
      <c r="A2" s="166" t="s">
        <v>30</v>
      </c>
      <c r="B2" s="166"/>
      <c r="C2" s="166"/>
      <c r="D2" s="166"/>
      <c r="E2" s="166"/>
      <c r="F2" s="166"/>
      <c r="G2" s="166"/>
      <c r="H2" s="166"/>
      <c r="I2" s="166"/>
      <c r="J2" s="166"/>
      <c r="K2" s="166"/>
      <c r="L2" s="166"/>
      <c r="M2" s="166"/>
      <c r="N2" s="166"/>
      <c r="O2" s="166"/>
      <c r="P2" s="166"/>
      <c r="Q2" s="166"/>
      <c r="R2" s="166"/>
      <c r="S2" s="166"/>
      <c r="T2" s="166"/>
      <c r="U2" s="166"/>
      <c r="V2" s="166"/>
      <c r="W2" s="166"/>
      <c r="X2" s="166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66"/>
      <c r="AJ2" s="166"/>
      <c r="AK2" s="166"/>
      <c r="AL2" s="166"/>
      <c r="AM2" s="166"/>
      <c r="AN2" s="166"/>
      <c r="AO2" s="166"/>
      <c r="AP2" s="166"/>
      <c r="AQ2" s="166"/>
      <c r="AR2" s="166"/>
      <c r="AS2" s="166"/>
      <c r="AT2" s="166"/>
      <c r="AU2" s="166"/>
      <c r="AV2" s="166"/>
    </row>
    <row r="3" spans="1:61" ht="18.75" x14ac:dyDescent="0.3">
      <c r="A3" s="167" t="s">
        <v>31</v>
      </c>
      <c r="B3" s="167"/>
      <c r="C3" s="167"/>
      <c r="D3" s="167"/>
      <c r="E3" s="167"/>
      <c r="F3" s="167"/>
      <c r="G3" s="167"/>
      <c r="H3" s="167"/>
      <c r="I3" s="167"/>
      <c r="J3" s="167"/>
      <c r="K3" s="167"/>
      <c r="L3" s="167"/>
      <c r="M3" s="167"/>
      <c r="N3" s="167"/>
      <c r="O3" s="167"/>
      <c r="P3" s="167"/>
      <c r="Q3" s="167"/>
      <c r="R3" s="167"/>
      <c r="S3" s="167"/>
      <c r="T3" s="167"/>
      <c r="U3" s="167"/>
      <c r="V3" s="167"/>
      <c r="W3" s="167"/>
      <c r="X3" s="167"/>
      <c r="Y3" s="167"/>
      <c r="Z3" s="167"/>
      <c r="AA3" s="167"/>
      <c r="AB3" s="167"/>
      <c r="AC3" s="167"/>
      <c r="AD3" s="167"/>
      <c r="AE3" s="167"/>
      <c r="AF3" s="167"/>
      <c r="AG3" s="167"/>
      <c r="AH3" s="167"/>
      <c r="AI3" s="167"/>
      <c r="AJ3" s="167"/>
      <c r="AK3" s="167"/>
      <c r="AL3" s="167"/>
      <c r="AM3" s="167"/>
      <c r="AN3" s="167"/>
      <c r="AO3" s="167"/>
      <c r="AP3" s="167"/>
      <c r="AQ3" s="167"/>
      <c r="AR3" s="167"/>
      <c r="AS3" s="167"/>
      <c r="AT3" s="167"/>
      <c r="AU3" s="167"/>
      <c r="AV3" s="167"/>
    </row>
    <row r="4" spans="1:61" x14ac:dyDescent="0.2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</row>
    <row r="5" spans="1:61" x14ac:dyDescent="0.2"/>
    <row r="6" spans="1:61" ht="4.9000000000000004" customHeight="1" x14ac:dyDescent="0.2">
      <c r="A6" s="6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8"/>
    </row>
    <row r="7" spans="1:61" x14ac:dyDescent="0.2">
      <c r="A7" s="9"/>
      <c r="B7" s="2" t="s">
        <v>0</v>
      </c>
      <c r="AV7" s="10"/>
    </row>
    <row r="8" spans="1:61" ht="5.45" customHeight="1" x14ac:dyDescent="0.2">
      <c r="A8" s="9"/>
      <c r="AV8" s="10"/>
    </row>
    <row r="9" spans="1:61" x14ac:dyDescent="0.2">
      <c r="A9" s="9"/>
      <c r="B9" s="1" t="s">
        <v>1</v>
      </c>
      <c r="I9" s="168" t="s">
        <v>334</v>
      </c>
      <c r="J9" s="168"/>
      <c r="K9" s="168"/>
      <c r="L9" s="168"/>
      <c r="M9" s="168"/>
      <c r="N9" s="168"/>
      <c r="O9" s="168"/>
      <c r="P9" s="168"/>
      <c r="Q9" s="168"/>
      <c r="R9" s="168"/>
      <c r="S9" s="168"/>
      <c r="T9" s="133" t="s">
        <v>328</v>
      </c>
      <c r="U9" s="133"/>
      <c r="V9" s="133"/>
      <c r="W9" s="133"/>
      <c r="X9" s="133"/>
      <c r="Y9" s="133"/>
      <c r="Z9" s="131">
        <v>1056</v>
      </c>
      <c r="AA9" s="131"/>
      <c r="AB9" s="131"/>
      <c r="AC9" s="131"/>
      <c r="AD9" s="131"/>
      <c r="AE9" s="131"/>
      <c r="AF9" s="131"/>
      <c r="AG9" s="131"/>
      <c r="AI9" s="1" t="s">
        <v>2</v>
      </c>
      <c r="AM9" s="158" t="s">
        <v>343</v>
      </c>
      <c r="AN9" s="158"/>
      <c r="AO9" s="158"/>
      <c r="AP9" s="158"/>
      <c r="AQ9" s="158"/>
      <c r="AR9" s="158"/>
      <c r="AS9" s="158"/>
      <c r="AT9" s="158"/>
      <c r="AU9" s="158"/>
      <c r="AV9" s="10"/>
    </row>
    <row r="10" spans="1:61" ht="5.45" customHeight="1" x14ac:dyDescent="0.2">
      <c r="A10" s="9"/>
      <c r="AV10" s="10"/>
    </row>
    <row r="11" spans="1:61" x14ac:dyDescent="0.2">
      <c r="A11" s="9"/>
      <c r="B11" s="163" t="s">
        <v>3</v>
      </c>
      <c r="C11" s="163"/>
      <c r="D11" s="163"/>
      <c r="E11" s="163"/>
      <c r="F11" s="164" t="s">
        <v>335</v>
      </c>
      <c r="G11" s="164"/>
      <c r="H11" s="164"/>
      <c r="I11" s="164"/>
      <c r="J11" s="164"/>
      <c r="K11" s="164"/>
      <c r="L11" s="164"/>
      <c r="M11" s="164"/>
      <c r="O11" s="1" t="s">
        <v>4</v>
      </c>
      <c r="X11" s="158" t="s">
        <v>336</v>
      </c>
      <c r="Y11" s="158"/>
      <c r="Z11" s="158"/>
      <c r="AA11" s="158"/>
      <c r="AB11" s="158"/>
      <c r="AC11" s="158"/>
      <c r="AD11" s="158"/>
      <c r="AE11" s="158"/>
      <c r="AF11" s="158"/>
      <c r="AG11" s="158"/>
      <c r="AI11" s="1" t="s">
        <v>5</v>
      </c>
      <c r="AP11" s="158" t="s">
        <v>337</v>
      </c>
      <c r="AQ11" s="158"/>
      <c r="AR11" s="158"/>
      <c r="AS11" s="158"/>
      <c r="AT11" s="158"/>
      <c r="AU11" s="158"/>
      <c r="AV11" s="10"/>
      <c r="BA11" s="165"/>
      <c r="BB11" s="165"/>
      <c r="BC11" s="165"/>
      <c r="BD11" s="165"/>
      <c r="BE11" s="165"/>
      <c r="BF11" s="165"/>
      <c r="BG11" s="165"/>
      <c r="BH11" s="165"/>
      <c r="BI11" s="165"/>
    </row>
    <row r="12" spans="1:61" ht="5.45" customHeight="1" x14ac:dyDescent="0.2">
      <c r="A12" s="9"/>
      <c r="AV12" s="10"/>
      <c r="BA12" s="165"/>
      <c r="BB12" s="165"/>
      <c r="BC12" s="165"/>
      <c r="BD12" s="165"/>
      <c r="BE12" s="165"/>
      <c r="BF12" s="165"/>
      <c r="BG12" s="165"/>
      <c r="BH12" s="165"/>
      <c r="BI12" s="165"/>
    </row>
    <row r="13" spans="1:61" x14ac:dyDescent="0.2">
      <c r="A13" s="9"/>
      <c r="B13" s="1" t="s">
        <v>6</v>
      </c>
      <c r="F13" s="131" t="s">
        <v>351</v>
      </c>
      <c r="G13" s="131"/>
      <c r="H13" s="131"/>
      <c r="I13" s="131"/>
      <c r="J13" s="131"/>
      <c r="K13" s="131"/>
      <c r="L13" s="131"/>
      <c r="AV13" s="10"/>
      <c r="BA13" s="165"/>
      <c r="BB13" s="165"/>
      <c r="BC13" s="165"/>
      <c r="BD13" s="165"/>
      <c r="BE13" s="165"/>
      <c r="BF13" s="165"/>
      <c r="BG13" s="165"/>
      <c r="BH13" s="165"/>
      <c r="BI13" s="165"/>
    </row>
    <row r="14" spans="1:61" ht="5.45" customHeight="1" x14ac:dyDescent="0.2">
      <c r="A14" s="9"/>
      <c r="AV14" s="10"/>
    </row>
    <row r="15" spans="1:61" ht="5.45" customHeight="1" x14ac:dyDescent="0.2">
      <c r="A15" s="6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8"/>
    </row>
    <row r="16" spans="1:61" ht="15" customHeight="1" x14ac:dyDescent="0.2">
      <c r="A16" s="9"/>
      <c r="B16" s="2" t="s">
        <v>7</v>
      </c>
      <c r="AD16" s="91"/>
      <c r="AE16" s="169" t="s">
        <v>305</v>
      </c>
      <c r="AF16" s="169"/>
      <c r="AG16" s="169"/>
      <c r="AH16" s="169"/>
      <c r="AI16" s="169"/>
      <c r="AK16" s="114"/>
      <c r="AL16" s="4"/>
      <c r="AN16" s="134">
        <v>5</v>
      </c>
      <c r="AO16" s="136"/>
      <c r="AP16" s="134">
        <v>1</v>
      </c>
      <c r="AQ16" s="136"/>
      <c r="AR16" s="134">
        <v>2025</v>
      </c>
      <c r="AS16" s="135"/>
      <c r="AT16" s="135"/>
      <c r="AU16" s="136"/>
      <c r="AV16" s="10"/>
      <c r="BE16" s="162"/>
      <c r="BF16" s="162"/>
      <c r="BG16" s="162"/>
    </row>
    <row r="17" spans="1:48" ht="8.4499999999999993" customHeight="1" x14ac:dyDescent="0.2">
      <c r="A17" s="9"/>
      <c r="AN17" s="159" t="s">
        <v>11</v>
      </c>
      <c r="AO17" s="159"/>
      <c r="AP17" s="159" t="s">
        <v>12</v>
      </c>
      <c r="AQ17" s="159"/>
      <c r="AR17" s="160" t="s">
        <v>13</v>
      </c>
      <c r="AS17" s="160"/>
      <c r="AT17" s="160"/>
      <c r="AU17" s="160"/>
      <c r="AV17" s="10"/>
    </row>
    <row r="18" spans="1:48" x14ac:dyDescent="0.2">
      <c r="A18" s="9"/>
      <c r="B18" s="1" t="s">
        <v>8</v>
      </c>
      <c r="G18" s="131" t="s">
        <v>341</v>
      </c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AB18" s="1" t="s">
        <v>9</v>
      </c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0"/>
    </row>
    <row r="19" spans="1:48" ht="5.45" customHeight="1" x14ac:dyDescent="0.2">
      <c r="A19" s="9"/>
      <c r="AV19" s="10"/>
    </row>
    <row r="20" spans="1:48" s="4" customFormat="1" ht="13.9" customHeight="1" x14ac:dyDescent="0.2">
      <c r="A20" s="18"/>
      <c r="B20" s="4" t="s">
        <v>10</v>
      </c>
      <c r="L20" s="134">
        <v>5</v>
      </c>
      <c r="M20" s="136"/>
      <c r="N20" s="134">
        <v>1</v>
      </c>
      <c r="O20" s="136"/>
      <c r="P20" s="134">
        <v>2025</v>
      </c>
      <c r="Q20" s="135"/>
      <c r="R20" s="135"/>
      <c r="S20" s="136"/>
      <c r="X20" s="4" t="s">
        <v>105</v>
      </c>
      <c r="AH20" s="161" t="s">
        <v>361</v>
      </c>
      <c r="AI20" s="157"/>
      <c r="AJ20" s="161" t="s">
        <v>362</v>
      </c>
      <c r="AK20" s="157"/>
      <c r="AL20" s="161" t="s">
        <v>363</v>
      </c>
      <c r="AM20" s="156"/>
      <c r="AN20" s="156"/>
      <c r="AO20" s="157"/>
      <c r="AS20" s="162"/>
      <c r="AT20" s="162"/>
      <c r="AU20" s="162"/>
      <c r="AV20" s="19"/>
    </row>
    <row r="21" spans="1:48" s="3" customFormat="1" ht="8.25" x14ac:dyDescent="0.15">
      <c r="A21" s="14"/>
      <c r="L21" s="159" t="s">
        <v>11</v>
      </c>
      <c r="M21" s="159"/>
      <c r="N21" s="159" t="s">
        <v>12</v>
      </c>
      <c r="O21" s="159"/>
      <c r="P21" s="160" t="s">
        <v>13</v>
      </c>
      <c r="Q21" s="160"/>
      <c r="R21" s="160"/>
      <c r="S21" s="160"/>
      <c r="AH21" s="159" t="s">
        <v>11</v>
      </c>
      <c r="AI21" s="159"/>
      <c r="AJ21" s="159" t="s">
        <v>12</v>
      </c>
      <c r="AK21" s="159"/>
      <c r="AL21" s="160" t="s">
        <v>13</v>
      </c>
      <c r="AM21" s="160"/>
      <c r="AN21" s="160"/>
      <c r="AO21" s="160"/>
      <c r="AV21" s="16"/>
    </row>
    <row r="22" spans="1:48" ht="5.45" customHeight="1" x14ac:dyDescent="0.2">
      <c r="A22" s="9"/>
      <c r="S22" s="4"/>
      <c r="T22" s="4"/>
      <c r="U22" s="4"/>
      <c r="AV22" s="10"/>
    </row>
    <row r="23" spans="1:48" x14ac:dyDescent="0.2">
      <c r="A23" s="9"/>
      <c r="B23" s="4" t="s">
        <v>14</v>
      </c>
      <c r="C23" s="4"/>
      <c r="D23" s="4"/>
      <c r="E23" s="4"/>
      <c r="F23" s="4"/>
      <c r="H23" s="158">
        <v>2</v>
      </c>
      <c r="I23" s="158"/>
      <c r="J23" s="158"/>
      <c r="L23" s="4" t="s">
        <v>15</v>
      </c>
      <c r="M23" s="4"/>
      <c r="N23" s="4"/>
      <c r="O23" s="4"/>
      <c r="P23" s="4"/>
      <c r="Q23" s="4"/>
      <c r="S23" s="131"/>
      <c r="T23" s="131"/>
      <c r="U23" s="131"/>
      <c r="W23" s="1" t="s">
        <v>16</v>
      </c>
      <c r="AB23" s="158">
        <v>0</v>
      </c>
      <c r="AC23" s="158"/>
      <c r="AD23" s="158"/>
      <c r="AF23" s="1" t="s">
        <v>17</v>
      </c>
      <c r="AL23" s="131">
        <v>0</v>
      </c>
      <c r="AM23" s="131"/>
      <c r="AN23" s="131"/>
      <c r="AV23" s="10"/>
    </row>
    <row r="24" spans="1:48" ht="4.9000000000000004" customHeight="1" x14ac:dyDescent="0.2">
      <c r="A24" s="11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3"/>
    </row>
    <row r="25" spans="1:48" ht="4.9000000000000004" customHeight="1" x14ac:dyDescent="0.2"/>
    <row r="26" spans="1:48" x14ac:dyDescent="0.2">
      <c r="B26" s="2" t="s">
        <v>18</v>
      </c>
    </row>
    <row r="27" spans="1:48" ht="4.9000000000000004" customHeight="1" x14ac:dyDescent="0.2"/>
    <row r="28" spans="1:48" x14ac:dyDescent="0.2">
      <c r="B28" s="1" t="s">
        <v>19</v>
      </c>
    </row>
    <row r="29" spans="1:48" s="5" customFormat="1" ht="23.45" customHeight="1" x14ac:dyDescent="0.25">
      <c r="B29" s="148" t="s">
        <v>20</v>
      </c>
      <c r="C29" s="148"/>
      <c r="D29" s="148"/>
      <c r="E29" s="148"/>
      <c r="F29" s="139" t="s">
        <v>34</v>
      </c>
      <c r="G29" s="139"/>
      <c r="H29" s="139"/>
      <c r="I29" s="139"/>
      <c r="J29" s="139"/>
      <c r="K29" s="139"/>
      <c r="L29" s="139"/>
      <c r="M29" s="139"/>
      <c r="N29" s="139"/>
      <c r="O29" s="139"/>
      <c r="P29" s="139"/>
      <c r="Q29" s="139"/>
      <c r="R29" s="139"/>
      <c r="S29" s="139"/>
      <c r="T29" s="139" t="s">
        <v>35</v>
      </c>
      <c r="U29" s="139"/>
      <c r="V29" s="139"/>
      <c r="W29" s="139"/>
      <c r="X29" s="139"/>
      <c r="Y29" s="139"/>
      <c r="Z29" s="139"/>
      <c r="AA29" s="139"/>
      <c r="AB29" s="139"/>
      <c r="AC29" s="139"/>
      <c r="AD29" s="139"/>
      <c r="AE29" s="139"/>
      <c r="AF29" s="139"/>
      <c r="AG29" s="139"/>
      <c r="AH29" s="139" t="s">
        <v>36</v>
      </c>
      <c r="AI29" s="139"/>
      <c r="AJ29" s="139"/>
      <c r="AK29" s="139"/>
      <c r="AL29" s="139"/>
      <c r="AM29" s="139"/>
      <c r="AN29" s="139"/>
      <c r="AO29" s="139"/>
      <c r="AP29" s="139"/>
      <c r="AQ29" s="139"/>
      <c r="AR29" s="139"/>
      <c r="AS29" s="139"/>
      <c r="AT29" s="139"/>
      <c r="AU29" s="139"/>
      <c r="AV29" s="17"/>
    </row>
    <row r="30" spans="1:48" s="5" customFormat="1" ht="23.45" customHeight="1" x14ac:dyDescent="0.25">
      <c r="B30" s="148"/>
      <c r="C30" s="148"/>
      <c r="D30" s="148"/>
      <c r="E30" s="148"/>
      <c r="F30" s="147" t="s">
        <v>32</v>
      </c>
      <c r="G30" s="147"/>
      <c r="H30" s="147"/>
      <c r="I30" s="147"/>
      <c r="J30" s="147"/>
      <c r="K30" s="148" t="s">
        <v>33</v>
      </c>
      <c r="L30" s="148"/>
      <c r="M30" s="148"/>
      <c r="N30" s="148"/>
      <c r="O30" s="148"/>
      <c r="P30" s="149" t="s">
        <v>261</v>
      </c>
      <c r="Q30" s="150"/>
      <c r="R30" s="150"/>
      <c r="S30" s="151"/>
      <c r="T30" s="148" t="s">
        <v>37</v>
      </c>
      <c r="U30" s="148"/>
      <c r="V30" s="148"/>
      <c r="W30" s="148"/>
      <c r="X30" s="148"/>
      <c r="Y30" s="148" t="s">
        <v>38</v>
      </c>
      <c r="Z30" s="148"/>
      <c r="AA30" s="148"/>
      <c r="AB30" s="148"/>
      <c r="AC30" s="148"/>
      <c r="AD30" s="149" t="s">
        <v>262</v>
      </c>
      <c r="AE30" s="150"/>
      <c r="AF30" s="150"/>
      <c r="AG30" s="151"/>
      <c r="AH30" s="148" t="s">
        <v>109</v>
      </c>
      <c r="AI30" s="148"/>
      <c r="AJ30" s="148"/>
      <c r="AK30" s="148"/>
      <c r="AL30" s="148"/>
      <c r="AM30" s="148" t="s">
        <v>39</v>
      </c>
      <c r="AN30" s="148"/>
      <c r="AO30" s="148"/>
      <c r="AP30" s="148"/>
      <c r="AQ30" s="148"/>
      <c r="AR30" s="149" t="s">
        <v>263</v>
      </c>
      <c r="AS30" s="150"/>
      <c r="AT30" s="150"/>
      <c r="AU30" s="151"/>
      <c r="AV30" s="17"/>
    </row>
    <row r="31" spans="1:48" ht="18" customHeight="1" x14ac:dyDescent="0.2">
      <c r="A31" s="1">
        <v>0</v>
      </c>
      <c r="B31" s="139" t="s">
        <v>256</v>
      </c>
      <c r="C31" s="139"/>
      <c r="D31" s="139"/>
      <c r="E31" s="139"/>
      <c r="F31" s="137"/>
      <c r="G31" s="137"/>
      <c r="H31" s="137"/>
      <c r="I31" s="137"/>
      <c r="J31" s="137"/>
      <c r="K31" s="137"/>
      <c r="L31" s="137"/>
      <c r="M31" s="137"/>
      <c r="N31" s="137"/>
      <c r="O31" s="137"/>
      <c r="P31" s="155"/>
      <c r="Q31" s="156"/>
      <c r="R31" s="156"/>
      <c r="S31" s="157"/>
      <c r="T31" s="138"/>
      <c r="U31" s="138"/>
      <c r="V31" s="138"/>
      <c r="W31" s="138"/>
      <c r="X31" s="138"/>
      <c r="Y31" s="138"/>
      <c r="Z31" s="138"/>
      <c r="AA31" s="138"/>
      <c r="AB31" s="138"/>
      <c r="AC31" s="138"/>
      <c r="AD31" s="137"/>
      <c r="AE31" s="137"/>
      <c r="AF31" s="137"/>
      <c r="AG31" s="137"/>
      <c r="AH31" s="138"/>
      <c r="AI31" s="138"/>
      <c r="AJ31" s="138"/>
      <c r="AK31" s="138"/>
      <c r="AL31" s="138"/>
      <c r="AM31" s="138"/>
      <c r="AN31" s="138"/>
      <c r="AO31" s="138"/>
      <c r="AP31" s="138"/>
      <c r="AQ31" s="138"/>
      <c r="AR31" s="137"/>
      <c r="AS31" s="137"/>
      <c r="AT31" s="137"/>
      <c r="AU31" s="137"/>
    </row>
    <row r="32" spans="1:48" ht="18" customHeight="1" x14ac:dyDescent="0.2">
      <c r="B32" s="139" t="s">
        <v>22</v>
      </c>
      <c r="C32" s="139"/>
      <c r="D32" s="139"/>
      <c r="E32" s="139"/>
      <c r="F32" s="137"/>
      <c r="G32" s="137"/>
      <c r="H32" s="137"/>
      <c r="I32" s="137"/>
      <c r="J32" s="137"/>
      <c r="K32" s="137">
        <v>1</v>
      </c>
      <c r="L32" s="137"/>
      <c r="M32" s="137"/>
      <c r="N32" s="137"/>
      <c r="O32" s="137"/>
      <c r="P32" s="137">
        <v>1</v>
      </c>
      <c r="Q32" s="137"/>
      <c r="R32" s="137"/>
      <c r="S32" s="137"/>
      <c r="T32" s="138"/>
      <c r="U32" s="138"/>
      <c r="V32" s="138"/>
      <c r="W32" s="138"/>
      <c r="X32" s="138"/>
      <c r="Y32" s="138"/>
      <c r="Z32" s="138"/>
      <c r="AA32" s="138"/>
      <c r="AB32" s="138"/>
      <c r="AC32" s="138"/>
      <c r="AD32" s="137"/>
      <c r="AE32" s="137"/>
      <c r="AF32" s="137"/>
      <c r="AG32" s="137"/>
      <c r="AH32" s="138"/>
      <c r="AI32" s="138"/>
      <c r="AJ32" s="138"/>
      <c r="AK32" s="138"/>
      <c r="AL32" s="138"/>
      <c r="AM32" s="138">
        <v>1</v>
      </c>
      <c r="AN32" s="138"/>
      <c r="AO32" s="138"/>
      <c r="AP32" s="138"/>
      <c r="AQ32" s="138"/>
      <c r="AR32" s="137">
        <v>1</v>
      </c>
      <c r="AS32" s="137"/>
      <c r="AT32" s="137"/>
      <c r="AU32" s="137"/>
    </row>
    <row r="33" spans="1:47" ht="18" customHeight="1" x14ac:dyDescent="0.2">
      <c r="B33" s="139" t="s">
        <v>23</v>
      </c>
      <c r="C33" s="139"/>
      <c r="D33" s="139"/>
      <c r="E33" s="139"/>
      <c r="F33" s="137">
        <v>1</v>
      </c>
      <c r="G33" s="137"/>
      <c r="H33" s="137"/>
      <c r="I33" s="137"/>
      <c r="J33" s="137"/>
      <c r="K33" s="137"/>
      <c r="L33" s="137"/>
      <c r="M33" s="137"/>
      <c r="N33" s="137"/>
      <c r="O33" s="137"/>
      <c r="P33" s="137">
        <v>1</v>
      </c>
      <c r="Q33" s="137"/>
      <c r="R33" s="137"/>
      <c r="S33" s="137"/>
      <c r="T33" s="138"/>
      <c r="U33" s="138"/>
      <c r="V33" s="138"/>
      <c r="W33" s="138"/>
      <c r="X33" s="138"/>
      <c r="Y33" s="138"/>
      <c r="Z33" s="138"/>
      <c r="AA33" s="138"/>
      <c r="AB33" s="138"/>
      <c r="AC33" s="138"/>
      <c r="AD33" s="137"/>
      <c r="AE33" s="137"/>
      <c r="AF33" s="137"/>
      <c r="AG33" s="137"/>
      <c r="AH33" s="134">
        <v>1</v>
      </c>
      <c r="AI33" s="135"/>
      <c r="AJ33" s="135"/>
      <c r="AK33" s="135"/>
      <c r="AL33" s="136"/>
      <c r="AM33" s="134"/>
      <c r="AN33" s="135"/>
      <c r="AO33" s="135"/>
      <c r="AP33" s="135"/>
      <c r="AQ33" s="136"/>
      <c r="AR33" s="137">
        <v>1</v>
      </c>
      <c r="AS33" s="137"/>
      <c r="AT33" s="137"/>
      <c r="AU33" s="137"/>
    </row>
    <row r="34" spans="1:47" ht="18" customHeight="1" x14ac:dyDescent="0.2">
      <c r="B34" s="139" t="s">
        <v>24</v>
      </c>
      <c r="C34" s="139"/>
      <c r="D34" s="139"/>
      <c r="E34" s="139"/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137"/>
      <c r="Q34" s="137"/>
      <c r="R34" s="137"/>
      <c r="S34" s="137"/>
      <c r="T34" s="138"/>
      <c r="U34" s="138"/>
      <c r="V34" s="138"/>
      <c r="W34" s="138"/>
      <c r="X34" s="138"/>
      <c r="Y34" s="138"/>
      <c r="Z34" s="138"/>
      <c r="AA34" s="138"/>
      <c r="AB34" s="138"/>
      <c r="AC34" s="138"/>
      <c r="AD34" s="137"/>
      <c r="AE34" s="137"/>
      <c r="AF34" s="137"/>
      <c r="AG34" s="137"/>
      <c r="AH34" s="134"/>
      <c r="AI34" s="135"/>
      <c r="AJ34" s="135"/>
      <c r="AK34" s="135"/>
      <c r="AL34" s="136"/>
      <c r="AM34" s="134"/>
      <c r="AN34" s="135"/>
      <c r="AO34" s="135"/>
      <c r="AP34" s="135"/>
      <c r="AQ34" s="136"/>
      <c r="AR34" s="137"/>
      <c r="AS34" s="137"/>
      <c r="AT34" s="137"/>
      <c r="AU34" s="137"/>
    </row>
    <row r="35" spans="1:47" ht="18" customHeight="1" x14ac:dyDescent="0.2">
      <c r="B35" s="139" t="s">
        <v>25</v>
      </c>
      <c r="C35" s="139"/>
      <c r="D35" s="139"/>
      <c r="E35" s="139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8"/>
      <c r="U35" s="138"/>
      <c r="V35" s="138"/>
      <c r="W35" s="138"/>
      <c r="X35" s="138"/>
      <c r="Y35" s="138"/>
      <c r="Z35" s="138"/>
      <c r="AA35" s="138"/>
      <c r="AB35" s="138"/>
      <c r="AC35" s="138"/>
      <c r="AD35" s="137"/>
      <c r="AE35" s="137"/>
      <c r="AF35" s="137"/>
      <c r="AG35" s="137"/>
      <c r="AH35" s="138">
        <v>1</v>
      </c>
      <c r="AI35" s="138"/>
      <c r="AJ35" s="138"/>
      <c r="AK35" s="138"/>
      <c r="AL35" s="138"/>
      <c r="AM35" s="138">
        <v>1</v>
      </c>
      <c r="AN35" s="138"/>
      <c r="AO35" s="138"/>
      <c r="AP35" s="138"/>
      <c r="AQ35" s="138"/>
      <c r="AR35" s="137">
        <v>2</v>
      </c>
      <c r="AS35" s="137"/>
      <c r="AT35" s="137"/>
      <c r="AU35" s="137"/>
    </row>
    <row r="36" spans="1:47" ht="18" customHeight="1" x14ac:dyDescent="0.2">
      <c r="B36" s="139" t="s">
        <v>26</v>
      </c>
      <c r="C36" s="139"/>
      <c r="D36" s="139"/>
      <c r="E36" s="139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7"/>
      <c r="AE36" s="137"/>
      <c r="AF36" s="137"/>
      <c r="AG36" s="137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7"/>
      <c r="AS36" s="137"/>
      <c r="AT36" s="137"/>
      <c r="AU36" s="137"/>
    </row>
    <row r="37" spans="1:47" ht="18" customHeight="1" x14ac:dyDescent="0.2">
      <c r="B37" s="139" t="s">
        <v>27</v>
      </c>
      <c r="C37" s="139"/>
      <c r="D37" s="139"/>
      <c r="E37" s="139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8"/>
      <c r="U37" s="138"/>
      <c r="V37" s="138"/>
      <c r="W37" s="138"/>
      <c r="X37" s="138"/>
      <c r="Y37" s="138"/>
      <c r="Z37" s="138"/>
      <c r="AA37" s="138"/>
      <c r="AB37" s="138"/>
      <c r="AC37" s="138"/>
      <c r="AD37" s="137"/>
      <c r="AE37" s="137"/>
      <c r="AF37" s="137"/>
      <c r="AG37" s="137"/>
      <c r="AH37" s="138"/>
      <c r="AI37" s="138"/>
      <c r="AJ37" s="138"/>
      <c r="AK37" s="138"/>
      <c r="AL37" s="138"/>
      <c r="AM37" s="138"/>
      <c r="AN37" s="138"/>
      <c r="AO37" s="138"/>
      <c r="AP37" s="138"/>
      <c r="AQ37" s="138"/>
      <c r="AR37" s="137"/>
      <c r="AS37" s="137"/>
      <c r="AT37" s="137"/>
      <c r="AU37" s="137"/>
    </row>
    <row r="38" spans="1:47" ht="18" customHeight="1" x14ac:dyDescent="0.2">
      <c r="A38" s="1">
        <v>17</v>
      </c>
      <c r="B38" s="139" t="s">
        <v>28</v>
      </c>
      <c r="C38" s="139"/>
      <c r="D38" s="139"/>
      <c r="E38" s="139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8"/>
      <c r="U38" s="138"/>
      <c r="V38" s="138"/>
      <c r="W38" s="138"/>
      <c r="X38" s="138"/>
      <c r="Y38" s="138"/>
      <c r="Z38" s="138"/>
      <c r="AA38" s="138"/>
      <c r="AB38" s="138"/>
      <c r="AC38" s="138"/>
      <c r="AD38" s="137"/>
      <c r="AE38" s="137"/>
      <c r="AF38" s="137"/>
      <c r="AG38" s="137"/>
      <c r="AH38" s="138"/>
      <c r="AI38" s="138"/>
      <c r="AJ38" s="138"/>
      <c r="AK38" s="138"/>
      <c r="AL38" s="138"/>
      <c r="AM38" s="138"/>
      <c r="AN38" s="138"/>
      <c r="AO38" s="138"/>
      <c r="AP38" s="138"/>
      <c r="AQ38" s="138"/>
      <c r="AR38" s="137"/>
      <c r="AS38" s="137"/>
      <c r="AT38" s="137"/>
      <c r="AU38" s="137"/>
    </row>
    <row r="39" spans="1:47" ht="18" customHeight="1" x14ac:dyDescent="0.2">
      <c r="B39" s="139" t="s">
        <v>29</v>
      </c>
      <c r="C39" s="139"/>
      <c r="D39" s="139"/>
      <c r="E39" s="139"/>
      <c r="F39" s="137">
        <v>1</v>
      </c>
      <c r="G39" s="137"/>
      <c r="H39" s="137"/>
      <c r="I39" s="137"/>
      <c r="J39" s="137"/>
      <c r="K39" s="137">
        <v>1</v>
      </c>
      <c r="L39" s="137"/>
      <c r="M39" s="137"/>
      <c r="N39" s="137"/>
      <c r="O39" s="137"/>
      <c r="P39" s="137">
        <v>2</v>
      </c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137"/>
      <c r="AF39" s="137"/>
      <c r="AG39" s="137"/>
      <c r="AH39" s="137">
        <v>2</v>
      </c>
      <c r="AI39" s="137"/>
      <c r="AJ39" s="137"/>
      <c r="AK39" s="137"/>
      <c r="AL39" s="137"/>
      <c r="AM39" s="137">
        <v>2</v>
      </c>
      <c r="AN39" s="137"/>
      <c r="AO39" s="137"/>
      <c r="AP39" s="137"/>
      <c r="AQ39" s="137"/>
      <c r="AR39" s="137">
        <v>4</v>
      </c>
      <c r="AS39" s="137"/>
      <c r="AT39" s="137"/>
      <c r="AU39" s="137"/>
    </row>
    <row r="40" spans="1:47" x14ac:dyDescent="0.2"/>
    <row r="41" spans="1:47" x14ac:dyDescent="0.2">
      <c r="B41" s="142" t="s">
        <v>44</v>
      </c>
      <c r="C41" s="142"/>
      <c r="D41" s="142"/>
      <c r="E41" s="142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2"/>
      <c r="V41" s="142"/>
      <c r="W41" s="142"/>
      <c r="X41" s="142"/>
      <c r="Y41" s="142"/>
      <c r="Z41" s="142"/>
      <c r="AA41" s="142"/>
      <c r="AB41" s="142"/>
      <c r="AC41" s="142"/>
      <c r="AD41" s="142"/>
      <c r="AE41" s="142"/>
      <c r="AF41" s="142"/>
      <c r="AG41" s="142"/>
      <c r="AH41" s="153" t="s">
        <v>260</v>
      </c>
      <c r="AI41" s="153"/>
      <c r="AJ41" s="153"/>
      <c r="AK41" s="153"/>
      <c r="AL41" s="153"/>
      <c r="AM41" s="153"/>
      <c r="AN41" s="153"/>
      <c r="AO41" s="153"/>
      <c r="AP41" s="153"/>
      <c r="AQ41" s="153"/>
      <c r="AR41" s="153"/>
      <c r="AS41" s="153"/>
      <c r="AT41" s="153"/>
      <c r="AU41" s="153"/>
    </row>
    <row r="42" spans="1:47" x14ac:dyDescent="0.2"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2"/>
      <c r="S42" s="152"/>
      <c r="T42" s="152"/>
      <c r="U42" s="152"/>
      <c r="V42" s="152"/>
      <c r="W42" s="152"/>
      <c r="X42" s="152"/>
      <c r="Y42" s="152"/>
      <c r="Z42" s="152"/>
      <c r="AA42" s="152"/>
      <c r="AB42" s="152"/>
      <c r="AC42" s="152"/>
      <c r="AD42" s="152"/>
      <c r="AE42" s="152"/>
      <c r="AF42" s="152"/>
      <c r="AG42" s="152"/>
      <c r="AH42" s="154"/>
      <c r="AI42" s="154"/>
      <c r="AJ42" s="154"/>
      <c r="AK42" s="154"/>
      <c r="AL42" s="154"/>
      <c r="AM42" s="154"/>
      <c r="AN42" s="154"/>
      <c r="AO42" s="154"/>
      <c r="AP42" s="154"/>
      <c r="AQ42" s="154"/>
      <c r="AR42" s="154"/>
      <c r="AS42" s="154"/>
      <c r="AT42" s="154"/>
      <c r="AU42" s="154"/>
    </row>
    <row r="43" spans="1:47" ht="24.6" customHeight="1" x14ac:dyDescent="0.2">
      <c r="B43" s="148" t="s">
        <v>20</v>
      </c>
      <c r="C43" s="148"/>
      <c r="D43" s="148"/>
      <c r="E43" s="148"/>
      <c r="F43" s="139" t="s">
        <v>40</v>
      </c>
      <c r="G43" s="139"/>
      <c r="H43" s="139"/>
      <c r="I43" s="139"/>
      <c r="J43" s="139"/>
      <c r="K43" s="139"/>
      <c r="L43" s="139"/>
      <c r="M43" s="139"/>
      <c r="N43" s="139"/>
      <c r="O43" s="139"/>
      <c r="P43" s="139"/>
      <c r="Q43" s="139"/>
      <c r="R43" s="139"/>
      <c r="S43" s="139"/>
      <c r="T43" s="139" t="s">
        <v>257</v>
      </c>
      <c r="U43" s="139"/>
      <c r="V43" s="139"/>
      <c r="W43" s="139"/>
      <c r="X43" s="139"/>
      <c r="Y43" s="139"/>
      <c r="Z43" s="139"/>
      <c r="AA43" s="139"/>
      <c r="AB43" s="139"/>
      <c r="AC43" s="139"/>
      <c r="AD43" s="139"/>
      <c r="AE43" s="139"/>
      <c r="AF43" s="139"/>
      <c r="AG43" s="139"/>
      <c r="AH43" s="148" t="s">
        <v>259</v>
      </c>
      <c r="AI43" s="148"/>
      <c r="AJ43" s="148"/>
      <c r="AK43" s="148"/>
      <c r="AL43" s="148"/>
      <c r="AM43" s="139" t="s">
        <v>43</v>
      </c>
      <c r="AN43" s="139"/>
      <c r="AO43" s="139"/>
      <c r="AP43" s="139"/>
      <c r="AQ43" s="139"/>
      <c r="AR43" s="139"/>
      <c r="AS43" s="139"/>
      <c r="AT43" s="139"/>
      <c r="AU43" s="139"/>
    </row>
    <row r="44" spans="1:47" ht="24.6" customHeight="1" x14ac:dyDescent="0.2">
      <c r="B44" s="148"/>
      <c r="C44" s="148"/>
      <c r="D44" s="148"/>
      <c r="E44" s="148"/>
      <c r="F44" s="147" t="s">
        <v>107</v>
      </c>
      <c r="G44" s="147"/>
      <c r="H44" s="147"/>
      <c r="I44" s="147"/>
      <c r="J44" s="147"/>
      <c r="K44" s="148" t="s">
        <v>108</v>
      </c>
      <c r="L44" s="148"/>
      <c r="M44" s="148"/>
      <c r="N44" s="148"/>
      <c r="O44" s="148"/>
      <c r="P44" s="144" t="s">
        <v>50</v>
      </c>
      <c r="Q44" s="145"/>
      <c r="R44" s="145"/>
      <c r="S44" s="146"/>
      <c r="T44" s="147" t="s">
        <v>107</v>
      </c>
      <c r="U44" s="147"/>
      <c r="V44" s="147"/>
      <c r="W44" s="147"/>
      <c r="X44" s="147"/>
      <c r="Y44" s="148" t="s">
        <v>108</v>
      </c>
      <c r="Z44" s="148"/>
      <c r="AA44" s="148"/>
      <c r="AB44" s="148"/>
      <c r="AC44" s="148"/>
      <c r="AD44" s="149" t="s">
        <v>258</v>
      </c>
      <c r="AE44" s="150"/>
      <c r="AF44" s="150"/>
      <c r="AG44" s="151"/>
      <c r="AH44" s="148"/>
      <c r="AI44" s="148"/>
      <c r="AJ44" s="148"/>
      <c r="AK44" s="148"/>
      <c r="AL44" s="148"/>
      <c r="AM44" s="148" t="s">
        <v>110</v>
      </c>
      <c r="AN44" s="148"/>
      <c r="AO44" s="148"/>
      <c r="AP44" s="148"/>
      <c r="AQ44" s="148"/>
      <c r="AR44" s="139" t="s">
        <v>42</v>
      </c>
      <c r="AS44" s="139"/>
      <c r="AT44" s="139"/>
      <c r="AU44" s="139"/>
    </row>
    <row r="45" spans="1:47" ht="18" customHeight="1" x14ac:dyDescent="0.2">
      <c r="B45" s="139" t="s">
        <v>21</v>
      </c>
      <c r="C45" s="139"/>
      <c r="D45" s="139"/>
      <c r="E45" s="139"/>
      <c r="F45" s="140" t="e">
        <f>(F31/AH31)*100</f>
        <v>#DIV/0!</v>
      </c>
      <c r="G45" s="140"/>
      <c r="H45" s="140"/>
      <c r="I45" s="140"/>
      <c r="J45" s="140"/>
      <c r="K45" s="140" t="e">
        <f>(K31/AM31)*100</f>
        <v>#DIV/0!</v>
      </c>
      <c r="L45" s="140"/>
      <c r="M45" s="140"/>
      <c r="N45" s="140"/>
      <c r="O45" s="140"/>
      <c r="P45" s="140" t="e">
        <f>(P31/AR31)*100</f>
        <v>#DIV/0!</v>
      </c>
      <c r="Q45" s="140"/>
      <c r="R45" s="140"/>
      <c r="S45" s="140"/>
      <c r="T45" s="140">
        <v>0</v>
      </c>
      <c r="U45" s="140"/>
      <c r="V45" s="140"/>
      <c r="W45" s="140"/>
      <c r="X45" s="140"/>
      <c r="Y45" s="140">
        <v>0</v>
      </c>
      <c r="Z45" s="140"/>
      <c r="AA45" s="140"/>
      <c r="AB45" s="140"/>
      <c r="AC45" s="140"/>
      <c r="AD45" s="140">
        <v>0</v>
      </c>
      <c r="AE45" s="140"/>
      <c r="AF45" s="140"/>
      <c r="AG45" s="140"/>
      <c r="AH45" s="253" t="s">
        <v>329</v>
      </c>
      <c r="AI45" s="254"/>
      <c r="AJ45" s="254"/>
      <c r="AK45" s="254"/>
      <c r="AL45" s="255"/>
      <c r="AM45" s="155">
        <v>2</v>
      </c>
      <c r="AN45" s="156"/>
      <c r="AO45" s="156"/>
      <c r="AP45" s="156"/>
      <c r="AQ45" s="157"/>
      <c r="AR45" s="256">
        <v>100</v>
      </c>
      <c r="AS45" s="257"/>
      <c r="AT45" s="257"/>
      <c r="AU45" s="258"/>
    </row>
    <row r="46" spans="1:47" ht="18" customHeight="1" x14ac:dyDescent="0.2">
      <c r="B46" s="139" t="s">
        <v>22</v>
      </c>
      <c r="C46" s="139"/>
      <c r="D46" s="139"/>
      <c r="E46" s="139"/>
      <c r="F46" s="140">
        <v>0</v>
      </c>
      <c r="G46" s="140"/>
      <c r="H46" s="140"/>
      <c r="I46" s="140"/>
      <c r="J46" s="140"/>
      <c r="K46" s="140">
        <f>K32/AM32*100</f>
        <v>100</v>
      </c>
      <c r="L46" s="140"/>
      <c r="M46" s="140"/>
      <c r="N46" s="140"/>
      <c r="O46" s="140"/>
      <c r="P46" s="140">
        <f>P32/AR32*100</f>
        <v>100</v>
      </c>
      <c r="Q46" s="140"/>
      <c r="R46" s="140"/>
      <c r="S46" s="140"/>
      <c r="T46" s="140">
        <v>0</v>
      </c>
      <c r="U46" s="140"/>
      <c r="V46" s="140"/>
      <c r="W46" s="140"/>
      <c r="X46" s="140"/>
      <c r="Y46" s="140">
        <v>0</v>
      </c>
      <c r="Z46" s="140"/>
      <c r="AA46" s="140"/>
      <c r="AB46" s="140"/>
      <c r="AC46" s="140"/>
      <c r="AD46" s="140">
        <v>0</v>
      </c>
      <c r="AE46" s="140"/>
      <c r="AF46" s="140"/>
      <c r="AG46" s="140"/>
      <c r="AH46" s="253" t="s">
        <v>331</v>
      </c>
      <c r="AI46" s="254"/>
      <c r="AJ46" s="254"/>
      <c r="AK46" s="254"/>
      <c r="AL46" s="255"/>
      <c r="AM46" s="155">
        <v>1</v>
      </c>
      <c r="AN46" s="156"/>
      <c r="AO46" s="156"/>
      <c r="AP46" s="156"/>
      <c r="AQ46" s="157"/>
      <c r="AR46" s="256">
        <v>50</v>
      </c>
      <c r="AS46" s="257"/>
      <c r="AT46" s="257"/>
      <c r="AU46" s="258"/>
    </row>
    <row r="47" spans="1:47" ht="19.5" customHeight="1" x14ac:dyDescent="0.2">
      <c r="B47" s="139" t="s">
        <v>23</v>
      </c>
      <c r="C47" s="139"/>
      <c r="D47" s="139"/>
      <c r="E47" s="139"/>
      <c r="F47" s="140">
        <f t="shared" ref="F47:F53" si="0">(F33/AH33)*100</f>
        <v>100</v>
      </c>
      <c r="G47" s="140"/>
      <c r="H47" s="140"/>
      <c r="I47" s="140"/>
      <c r="J47" s="140"/>
      <c r="K47" s="140">
        <v>0</v>
      </c>
      <c r="L47" s="140"/>
      <c r="M47" s="140"/>
      <c r="N47" s="140"/>
      <c r="O47" s="140"/>
      <c r="P47" s="140">
        <f>P33/AR33*100</f>
        <v>100</v>
      </c>
      <c r="Q47" s="140"/>
      <c r="R47" s="140"/>
      <c r="S47" s="140"/>
      <c r="T47" s="140">
        <v>0</v>
      </c>
      <c r="U47" s="140"/>
      <c r="V47" s="140"/>
      <c r="W47" s="140"/>
      <c r="X47" s="140"/>
      <c r="Y47" s="140">
        <v>0</v>
      </c>
      <c r="Z47" s="140"/>
      <c r="AA47" s="140"/>
      <c r="AB47" s="140"/>
      <c r="AC47" s="140"/>
      <c r="AD47" s="140">
        <v>0</v>
      </c>
      <c r="AE47" s="140"/>
      <c r="AF47" s="140"/>
      <c r="AG47" s="140"/>
      <c r="AH47" s="253" t="s">
        <v>332</v>
      </c>
      <c r="AI47" s="254"/>
      <c r="AJ47" s="254"/>
      <c r="AK47" s="254"/>
      <c r="AL47" s="255"/>
      <c r="AM47" s="155">
        <v>1</v>
      </c>
      <c r="AN47" s="156"/>
      <c r="AO47" s="156"/>
      <c r="AP47" s="156"/>
      <c r="AQ47" s="157"/>
      <c r="AR47" s="256">
        <v>50</v>
      </c>
      <c r="AS47" s="257"/>
      <c r="AT47" s="257"/>
      <c r="AU47" s="258"/>
    </row>
    <row r="48" spans="1:47" ht="20.25" customHeight="1" x14ac:dyDescent="0.2">
      <c r="B48" s="139" t="s">
        <v>24</v>
      </c>
      <c r="C48" s="139"/>
      <c r="D48" s="139"/>
      <c r="E48" s="139"/>
      <c r="F48" s="140">
        <v>0</v>
      </c>
      <c r="G48" s="140"/>
      <c r="H48" s="140"/>
      <c r="I48" s="140"/>
      <c r="J48" s="140"/>
      <c r="K48" s="140" t="e">
        <f t="shared" ref="K48:K53" si="1">(K34/AM34)*100</f>
        <v>#DIV/0!</v>
      </c>
      <c r="L48" s="140"/>
      <c r="M48" s="140"/>
      <c r="N48" s="140"/>
      <c r="O48" s="140"/>
      <c r="P48" s="140">
        <v>0</v>
      </c>
      <c r="Q48" s="140"/>
      <c r="R48" s="140"/>
      <c r="S48" s="140"/>
      <c r="T48" s="140">
        <v>0</v>
      </c>
      <c r="U48" s="140"/>
      <c r="V48" s="140"/>
      <c r="W48" s="140"/>
      <c r="X48" s="140"/>
      <c r="Y48" s="140">
        <v>0</v>
      </c>
      <c r="Z48" s="140"/>
      <c r="AA48" s="140"/>
      <c r="AB48" s="140"/>
      <c r="AC48" s="140"/>
      <c r="AD48" s="140">
        <v>0</v>
      </c>
      <c r="AE48" s="140"/>
      <c r="AF48" s="140"/>
      <c r="AG48" s="140"/>
      <c r="AH48" s="253" t="s">
        <v>354</v>
      </c>
      <c r="AI48" s="254"/>
      <c r="AJ48" s="254"/>
      <c r="AK48" s="254"/>
      <c r="AL48" s="255"/>
      <c r="AM48" s="155">
        <v>2</v>
      </c>
      <c r="AN48" s="156"/>
      <c r="AO48" s="156"/>
      <c r="AP48" s="156"/>
      <c r="AQ48" s="157"/>
      <c r="AR48" s="256">
        <v>100</v>
      </c>
      <c r="AS48" s="257"/>
      <c r="AT48" s="257"/>
      <c r="AU48" s="258"/>
    </row>
    <row r="49" spans="2:48" ht="18" customHeight="1" x14ac:dyDescent="0.2">
      <c r="B49" s="139" t="s">
        <v>25</v>
      </c>
      <c r="C49" s="139"/>
      <c r="D49" s="139"/>
      <c r="E49" s="139"/>
      <c r="F49" s="140">
        <f t="shared" si="0"/>
        <v>0</v>
      </c>
      <c r="G49" s="140"/>
      <c r="H49" s="140"/>
      <c r="I49" s="140"/>
      <c r="J49" s="140"/>
      <c r="K49" s="140">
        <f t="shared" si="1"/>
        <v>0</v>
      </c>
      <c r="L49" s="140"/>
      <c r="M49" s="140"/>
      <c r="N49" s="140"/>
      <c r="O49" s="140"/>
      <c r="P49" s="140">
        <f t="shared" ref="P49:P52" si="2">(P35/AR35)*100</f>
        <v>0</v>
      </c>
      <c r="Q49" s="140"/>
      <c r="R49" s="140"/>
      <c r="S49" s="140"/>
      <c r="T49" s="140">
        <v>0</v>
      </c>
      <c r="U49" s="140"/>
      <c r="V49" s="140"/>
      <c r="W49" s="140"/>
      <c r="X49" s="140"/>
      <c r="Y49" s="140">
        <v>0</v>
      </c>
      <c r="Z49" s="140"/>
      <c r="AA49" s="140"/>
      <c r="AB49" s="140"/>
      <c r="AC49" s="140"/>
      <c r="AD49" s="140">
        <v>0</v>
      </c>
      <c r="AE49" s="140"/>
      <c r="AF49" s="140"/>
      <c r="AG49" s="140"/>
      <c r="AH49" s="143"/>
      <c r="AI49" s="143"/>
      <c r="AJ49" s="143"/>
      <c r="AK49" s="143"/>
      <c r="AL49" s="143"/>
      <c r="AM49" s="137"/>
      <c r="AN49" s="137"/>
      <c r="AO49" s="137"/>
      <c r="AP49" s="137"/>
      <c r="AQ49" s="137"/>
      <c r="AR49" s="140"/>
      <c r="AS49" s="140"/>
      <c r="AT49" s="140"/>
      <c r="AU49" s="140"/>
    </row>
    <row r="50" spans="2:48" ht="18" customHeight="1" x14ac:dyDescent="0.2">
      <c r="B50" s="139" t="s">
        <v>26</v>
      </c>
      <c r="C50" s="139"/>
      <c r="D50" s="139"/>
      <c r="E50" s="139"/>
      <c r="F50" s="140" t="e">
        <f t="shared" si="0"/>
        <v>#DIV/0!</v>
      </c>
      <c r="G50" s="140"/>
      <c r="H50" s="140"/>
      <c r="I50" s="140"/>
      <c r="J50" s="140"/>
      <c r="K50" s="140" t="e">
        <f t="shared" si="1"/>
        <v>#DIV/0!</v>
      </c>
      <c r="L50" s="140"/>
      <c r="M50" s="140"/>
      <c r="N50" s="140"/>
      <c r="O50" s="140"/>
      <c r="P50" s="140" t="e">
        <f t="shared" si="2"/>
        <v>#DIV/0!</v>
      </c>
      <c r="Q50" s="140"/>
      <c r="R50" s="140"/>
      <c r="S50" s="140"/>
      <c r="T50" s="140">
        <v>0</v>
      </c>
      <c r="U50" s="140"/>
      <c r="V50" s="140"/>
      <c r="W50" s="140"/>
      <c r="X50" s="140"/>
      <c r="Y50" s="140">
        <v>0</v>
      </c>
      <c r="Z50" s="140"/>
      <c r="AA50" s="140"/>
      <c r="AB50" s="140"/>
      <c r="AC50" s="140"/>
      <c r="AD50" s="140">
        <v>0</v>
      </c>
      <c r="AE50" s="140"/>
      <c r="AF50" s="140"/>
      <c r="AG50" s="140"/>
      <c r="AH50" s="143"/>
      <c r="AI50" s="143"/>
      <c r="AJ50" s="143"/>
      <c r="AK50" s="143"/>
      <c r="AL50" s="143"/>
      <c r="AM50" s="137"/>
      <c r="AN50" s="137"/>
      <c r="AO50" s="137"/>
      <c r="AP50" s="137"/>
      <c r="AQ50" s="137"/>
      <c r="AR50" s="140"/>
      <c r="AS50" s="140"/>
      <c r="AT50" s="140"/>
      <c r="AU50" s="140"/>
    </row>
    <row r="51" spans="2:48" ht="18" customHeight="1" x14ac:dyDescent="0.2">
      <c r="B51" s="139" t="s">
        <v>27</v>
      </c>
      <c r="C51" s="139"/>
      <c r="D51" s="139"/>
      <c r="E51" s="139"/>
      <c r="F51" s="140" t="e">
        <f t="shared" si="0"/>
        <v>#DIV/0!</v>
      </c>
      <c r="G51" s="140"/>
      <c r="H51" s="140"/>
      <c r="I51" s="140"/>
      <c r="J51" s="140"/>
      <c r="K51" s="140" t="e">
        <f t="shared" si="1"/>
        <v>#DIV/0!</v>
      </c>
      <c r="L51" s="140"/>
      <c r="M51" s="140"/>
      <c r="N51" s="140"/>
      <c r="O51" s="140"/>
      <c r="P51" s="140" t="e">
        <f t="shared" si="2"/>
        <v>#DIV/0!</v>
      </c>
      <c r="Q51" s="140"/>
      <c r="R51" s="140"/>
      <c r="S51" s="140"/>
      <c r="T51" s="140">
        <v>0</v>
      </c>
      <c r="U51" s="140"/>
      <c r="V51" s="140"/>
      <c r="W51" s="140"/>
      <c r="X51" s="140"/>
      <c r="Y51" s="140">
        <v>0</v>
      </c>
      <c r="Z51" s="140"/>
      <c r="AA51" s="140"/>
      <c r="AB51" s="140"/>
      <c r="AC51" s="140"/>
      <c r="AD51" s="140">
        <v>0</v>
      </c>
      <c r="AE51" s="140"/>
      <c r="AF51" s="140"/>
      <c r="AG51" s="140"/>
      <c r="AH51" s="143"/>
      <c r="AI51" s="143"/>
      <c r="AJ51" s="143"/>
      <c r="AK51" s="143"/>
      <c r="AL51" s="143"/>
      <c r="AM51" s="137"/>
      <c r="AN51" s="137"/>
      <c r="AO51" s="137"/>
      <c r="AP51" s="137"/>
      <c r="AQ51" s="137"/>
      <c r="AR51" s="140"/>
      <c r="AS51" s="140"/>
      <c r="AT51" s="140"/>
      <c r="AU51" s="140"/>
    </row>
    <row r="52" spans="2:48" ht="18" customHeight="1" x14ac:dyDescent="0.2">
      <c r="B52" s="139" t="s">
        <v>28</v>
      </c>
      <c r="C52" s="139"/>
      <c r="D52" s="139"/>
      <c r="E52" s="139"/>
      <c r="F52" s="140" t="e">
        <f t="shared" si="0"/>
        <v>#DIV/0!</v>
      </c>
      <c r="G52" s="140"/>
      <c r="H52" s="140"/>
      <c r="I52" s="140"/>
      <c r="J52" s="140"/>
      <c r="K52" s="140" t="e">
        <f t="shared" si="1"/>
        <v>#DIV/0!</v>
      </c>
      <c r="L52" s="140"/>
      <c r="M52" s="140"/>
      <c r="N52" s="140"/>
      <c r="O52" s="140"/>
      <c r="P52" s="140" t="e">
        <f t="shared" si="2"/>
        <v>#DIV/0!</v>
      </c>
      <c r="Q52" s="140"/>
      <c r="R52" s="140"/>
      <c r="S52" s="140"/>
      <c r="T52" s="140">
        <v>0</v>
      </c>
      <c r="U52" s="140"/>
      <c r="V52" s="140"/>
      <c r="W52" s="140"/>
      <c r="X52" s="140"/>
      <c r="Y52" s="140">
        <v>0</v>
      </c>
      <c r="Z52" s="140"/>
      <c r="AA52" s="140"/>
      <c r="AB52" s="140"/>
      <c r="AC52" s="140"/>
      <c r="AD52" s="140">
        <v>0</v>
      </c>
      <c r="AE52" s="140"/>
      <c r="AF52" s="140"/>
      <c r="AG52" s="140"/>
      <c r="AH52" s="143"/>
      <c r="AI52" s="143"/>
      <c r="AJ52" s="143"/>
      <c r="AK52" s="143"/>
      <c r="AL52" s="143"/>
      <c r="AM52" s="137"/>
      <c r="AN52" s="137"/>
      <c r="AO52" s="137"/>
      <c r="AP52" s="137"/>
      <c r="AQ52" s="137"/>
      <c r="AR52" s="140"/>
      <c r="AS52" s="140"/>
      <c r="AT52" s="140"/>
      <c r="AU52" s="140"/>
    </row>
    <row r="53" spans="2:48" ht="18" customHeight="1" x14ac:dyDescent="0.2">
      <c r="B53" s="139" t="s">
        <v>29</v>
      </c>
      <c r="C53" s="139"/>
      <c r="D53" s="139"/>
      <c r="E53" s="139"/>
      <c r="F53" s="140">
        <f t="shared" si="0"/>
        <v>50</v>
      </c>
      <c r="G53" s="140"/>
      <c r="H53" s="140"/>
      <c r="I53" s="140"/>
      <c r="J53" s="140"/>
      <c r="K53" s="140">
        <f t="shared" si="1"/>
        <v>50</v>
      </c>
      <c r="L53" s="140"/>
      <c r="M53" s="140"/>
      <c r="N53" s="140"/>
      <c r="O53" s="140"/>
      <c r="P53" s="140">
        <f>P39/AR39*100</f>
        <v>50</v>
      </c>
      <c r="Q53" s="140"/>
      <c r="R53" s="140"/>
      <c r="S53" s="140"/>
      <c r="T53" s="140">
        <v>0</v>
      </c>
      <c r="U53" s="140"/>
      <c r="V53" s="140"/>
      <c r="W53" s="140"/>
      <c r="X53" s="140"/>
      <c r="Y53" s="140">
        <v>0</v>
      </c>
      <c r="Z53" s="140"/>
      <c r="AA53" s="140"/>
      <c r="AB53" s="140"/>
      <c r="AC53" s="140"/>
      <c r="AD53" s="140">
        <v>0</v>
      </c>
      <c r="AE53" s="140"/>
      <c r="AF53" s="140"/>
      <c r="AG53" s="140"/>
      <c r="AH53" s="137" t="s">
        <v>50</v>
      </c>
      <c r="AI53" s="137"/>
      <c r="AJ53" s="137"/>
      <c r="AK53" s="137"/>
      <c r="AL53" s="137"/>
      <c r="AM53" s="137">
        <v>2</v>
      </c>
      <c r="AN53" s="137"/>
      <c r="AO53" s="137"/>
      <c r="AP53" s="137"/>
      <c r="AQ53" s="137"/>
      <c r="AR53" s="140">
        <v>100</v>
      </c>
      <c r="AS53" s="140"/>
      <c r="AT53" s="140"/>
      <c r="AU53" s="140"/>
    </row>
    <row r="54" spans="2:48" x14ac:dyDescent="0.2">
      <c r="B54" s="1" t="s">
        <v>45</v>
      </c>
    </row>
    <row r="55" spans="2:48" x14ac:dyDescent="0.2"/>
    <row r="56" spans="2:48" x14ac:dyDescent="0.2"/>
    <row r="57" spans="2:48" x14ac:dyDescent="0.2">
      <c r="B57" s="2" t="s">
        <v>46</v>
      </c>
    </row>
    <row r="58" spans="2:48" x14ac:dyDescent="0.2">
      <c r="B58" s="142" t="s">
        <v>47</v>
      </c>
      <c r="C58" s="142"/>
      <c r="D58" s="142"/>
      <c r="E58" s="142"/>
      <c r="F58" s="142"/>
      <c r="G58" s="142"/>
      <c r="H58" s="142"/>
      <c r="I58" s="142"/>
      <c r="J58" s="142"/>
      <c r="K58" s="142"/>
      <c r="L58" s="142"/>
      <c r="M58" s="142"/>
      <c r="N58" s="142"/>
      <c r="O58" s="142"/>
      <c r="P58" s="142"/>
      <c r="Q58" s="142"/>
      <c r="R58" s="142"/>
      <c r="S58" s="142"/>
      <c r="T58" s="142"/>
      <c r="U58" s="142"/>
      <c r="V58" s="142"/>
      <c r="W58" s="142"/>
      <c r="X58" s="142"/>
      <c r="Y58" s="142"/>
      <c r="Z58" s="142"/>
      <c r="AA58" s="142"/>
      <c r="AB58" s="142"/>
      <c r="AC58" s="142"/>
      <c r="AD58" s="142"/>
      <c r="AE58" s="142"/>
      <c r="AF58" s="142"/>
      <c r="AG58" s="142"/>
      <c r="AH58" s="142"/>
      <c r="AI58" s="142"/>
      <c r="AJ58" s="142"/>
      <c r="AK58" s="142"/>
      <c r="AL58" s="142"/>
      <c r="AM58" s="142"/>
      <c r="AN58" s="142"/>
      <c r="AO58" s="142"/>
      <c r="AP58" s="142"/>
      <c r="AQ58" s="142"/>
      <c r="AR58" s="142"/>
      <c r="AS58" s="142"/>
      <c r="AT58" s="142"/>
      <c r="AU58" s="142"/>
      <c r="AV58" s="142"/>
    </row>
    <row r="59" spans="2:48" x14ac:dyDescent="0.2">
      <c r="B59" s="142"/>
      <c r="C59" s="142"/>
      <c r="D59" s="142"/>
      <c r="E59" s="142"/>
      <c r="F59" s="142"/>
      <c r="G59" s="142"/>
      <c r="H59" s="142"/>
      <c r="I59" s="142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</row>
    <row r="60" spans="2:48" x14ac:dyDescent="0.2"/>
    <row r="61" spans="2:48" x14ac:dyDescent="0.2"/>
    <row r="62" spans="2:48" x14ac:dyDescent="0.2"/>
    <row r="63" spans="2:48" x14ac:dyDescent="0.2"/>
    <row r="64" spans="2:48" x14ac:dyDescent="0.2"/>
    <row r="65" spans="2:48" x14ac:dyDescent="0.2"/>
    <row r="66" spans="2:48" x14ac:dyDescent="0.2"/>
    <row r="67" spans="2:48" x14ac:dyDescent="0.2"/>
    <row r="68" spans="2:48" x14ac:dyDescent="0.2">
      <c r="E68" s="91"/>
      <c r="F68" s="91"/>
      <c r="G68" s="91"/>
      <c r="H68" s="91"/>
      <c r="I68" s="91"/>
      <c r="J68" s="91"/>
      <c r="K68" s="91"/>
      <c r="L68" s="91"/>
      <c r="M68" s="91"/>
      <c r="N68" s="91"/>
      <c r="O68" s="91"/>
      <c r="P68" s="91"/>
      <c r="Q68" s="91"/>
      <c r="R68" s="91"/>
      <c r="S68" s="91"/>
      <c r="T68" s="91"/>
    </row>
    <row r="69" spans="2:48" x14ac:dyDescent="0.2"/>
    <row r="70" spans="2:48" x14ac:dyDescent="0.2"/>
    <row r="71" spans="2:48" x14ac:dyDescent="0.2"/>
    <row r="72" spans="2:48" x14ac:dyDescent="0.2"/>
    <row r="73" spans="2:48" x14ac:dyDescent="0.2"/>
    <row r="74" spans="2:48" x14ac:dyDescent="0.2"/>
    <row r="75" spans="2:48" x14ac:dyDescent="0.2"/>
    <row r="76" spans="2:48" x14ac:dyDescent="0.2"/>
    <row r="77" spans="2:48" x14ac:dyDescent="0.2"/>
    <row r="78" spans="2:48" x14ac:dyDescent="0.2"/>
    <row r="79" spans="2:48" ht="10.15" customHeight="1" x14ac:dyDescent="0.2">
      <c r="B79" s="142" t="s">
        <v>48</v>
      </c>
      <c r="C79" s="142"/>
      <c r="D79" s="142"/>
      <c r="E79" s="142"/>
      <c r="F79" s="142"/>
      <c r="G79" s="142"/>
      <c r="H79" s="142"/>
      <c r="I79" s="142"/>
      <c r="J79" s="142"/>
      <c r="K79" s="142"/>
      <c r="L79" s="142"/>
      <c r="M79" s="142"/>
      <c r="N79" s="142"/>
      <c r="O79" s="142"/>
      <c r="P79" s="142"/>
      <c r="Q79" s="142"/>
      <c r="R79" s="142"/>
      <c r="S79" s="142"/>
      <c r="T79" s="142"/>
      <c r="U79" s="142"/>
      <c r="V79" s="142"/>
      <c r="W79" s="142"/>
      <c r="X79" s="142"/>
      <c r="Y79" s="142"/>
      <c r="Z79" s="142"/>
      <c r="AA79" s="142"/>
      <c r="AB79" s="142"/>
      <c r="AC79" s="142"/>
      <c r="AD79" s="142"/>
      <c r="AE79" s="142"/>
      <c r="AF79" s="142"/>
      <c r="AG79" s="142"/>
      <c r="AH79" s="142"/>
      <c r="AI79" s="142"/>
      <c r="AJ79" s="142"/>
      <c r="AK79" s="142"/>
      <c r="AL79" s="142"/>
      <c r="AM79" s="142"/>
      <c r="AN79" s="142"/>
      <c r="AO79" s="142"/>
      <c r="AP79" s="142"/>
      <c r="AQ79" s="142"/>
      <c r="AR79" s="142"/>
      <c r="AS79" s="142"/>
      <c r="AT79" s="142"/>
      <c r="AU79" s="142"/>
      <c r="AV79" s="142"/>
    </row>
    <row r="80" spans="2:48" x14ac:dyDescent="0.2">
      <c r="B80" s="142"/>
      <c r="C80" s="142"/>
      <c r="D80" s="142"/>
      <c r="E80" s="142"/>
      <c r="F80" s="142"/>
      <c r="G80" s="142"/>
      <c r="H80" s="142"/>
      <c r="I80" s="142"/>
      <c r="J80" s="142"/>
      <c r="K80" s="142"/>
      <c r="L80" s="142"/>
      <c r="M80" s="142"/>
      <c r="N80" s="142"/>
      <c r="O80" s="142"/>
      <c r="P80" s="142"/>
      <c r="Q80" s="142"/>
      <c r="R80" s="142"/>
      <c r="S80" s="142"/>
      <c r="T80" s="142"/>
      <c r="U80" s="142"/>
      <c r="V80" s="142"/>
      <c r="W80" s="142"/>
      <c r="X80" s="142"/>
      <c r="Y80" s="142"/>
      <c r="Z80" s="142"/>
      <c r="AA80" s="142"/>
      <c r="AB80" s="142"/>
      <c r="AC80" s="142"/>
      <c r="AD80" s="142"/>
      <c r="AE80" s="142"/>
      <c r="AF80" s="142"/>
      <c r="AG80" s="142"/>
      <c r="AH80" s="142"/>
      <c r="AI80" s="142"/>
      <c r="AJ80" s="142"/>
      <c r="AK80" s="142"/>
      <c r="AL80" s="142"/>
      <c r="AM80" s="142"/>
      <c r="AN80" s="142"/>
      <c r="AO80" s="142"/>
      <c r="AP80" s="142"/>
      <c r="AQ80" s="142"/>
      <c r="AR80" s="142"/>
      <c r="AS80" s="142"/>
      <c r="AT80" s="142"/>
      <c r="AU80" s="142"/>
      <c r="AV80" s="142"/>
    </row>
    <row r="81" spans="2:47" x14ac:dyDescent="0.2"/>
    <row r="82" spans="2:47" ht="14.45" customHeight="1" x14ac:dyDescent="0.2">
      <c r="B82" s="138" t="s">
        <v>49</v>
      </c>
      <c r="C82" s="138"/>
      <c r="D82" s="138"/>
      <c r="E82" s="138"/>
      <c r="F82" s="138"/>
      <c r="G82" s="138"/>
      <c r="H82" s="138"/>
      <c r="I82" s="138"/>
      <c r="J82" s="138"/>
      <c r="K82" s="138"/>
      <c r="L82" s="138"/>
      <c r="M82" s="138"/>
      <c r="N82" s="138"/>
      <c r="O82" s="138"/>
      <c r="P82" s="138"/>
      <c r="Q82" s="138"/>
      <c r="R82" s="138"/>
      <c r="S82" s="138"/>
      <c r="T82" s="138"/>
      <c r="U82" s="138"/>
      <c r="V82" s="138"/>
      <c r="W82" s="138"/>
      <c r="X82" s="138"/>
      <c r="Y82" s="138"/>
      <c r="Z82" s="138"/>
      <c r="AA82" s="138"/>
      <c r="AB82" s="138" t="s">
        <v>43</v>
      </c>
      <c r="AC82" s="138"/>
      <c r="AD82" s="138"/>
      <c r="AE82" s="138"/>
      <c r="AF82" s="138"/>
      <c r="AG82" s="138"/>
      <c r="AH82" s="138"/>
      <c r="AI82" s="138"/>
      <c r="AJ82" s="138"/>
      <c r="AK82" s="138"/>
      <c r="AL82" s="141" t="s">
        <v>16</v>
      </c>
      <c r="AM82" s="141"/>
      <c r="AN82" s="141"/>
      <c r="AO82" s="141"/>
      <c r="AP82" s="141"/>
      <c r="AQ82" s="141"/>
      <c r="AR82" s="141"/>
      <c r="AS82" s="141"/>
      <c r="AT82" s="141"/>
      <c r="AU82" s="141"/>
    </row>
    <row r="83" spans="2:47" x14ac:dyDescent="0.2">
      <c r="B83" s="138"/>
      <c r="C83" s="138"/>
      <c r="D83" s="138"/>
      <c r="E83" s="138"/>
      <c r="F83" s="138"/>
      <c r="G83" s="138"/>
      <c r="H83" s="138"/>
      <c r="I83" s="138"/>
      <c r="J83" s="138"/>
      <c r="K83" s="138"/>
      <c r="L83" s="138"/>
      <c r="M83" s="138"/>
      <c r="N83" s="138"/>
      <c r="O83" s="138"/>
      <c r="P83" s="138"/>
      <c r="Q83" s="138"/>
      <c r="R83" s="138"/>
      <c r="S83" s="138"/>
      <c r="T83" s="138"/>
      <c r="U83" s="138"/>
      <c r="V83" s="138"/>
      <c r="W83" s="138"/>
      <c r="X83" s="138"/>
      <c r="Y83" s="138"/>
      <c r="Z83" s="138"/>
      <c r="AA83" s="138"/>
      <c r="AB83" s="138" t="s">
        <v>41</v>
      </c>
      <c r="AC83" s="138"/>
      <c r="AD83" s="138"/>
      <c r="AE83" s="138"/>
      <c r="AF83" s="138"/>
      <c r="AG83" s="138" t="s">
        <v>42</v>
      </c>
      <c r="AH83" s="138"/>
      <c r="AI83" s="138"/>
      <c r="AJ83" s="138"/>
      <c r="AK83" s="138"/>
      <c r="AL83" s="138" t="s">
        <v>41</v>
      </c>
      <c r="AM83" s="138"/>
      <c r="AN83" s="138"/>
      <c r="AO83" s="138"/>
      <c r="AP83" s="138"/>
      <c r="AQ83" s="138"/>
      <c r="AR83" s="138"/>
      <c r="AS83" s="138"/>
      <c r="AT83" s="138"/>
      <c r="AU83" s="138"/>
    </row>
    <row r="84" spans="2:47" ht="16.899999999999999" customHeight="1" x14ac:dyDescent="0.2">
      <c r="B84" s="134" t="s">
        <v>158</v>
      </c>
      <c r="C84" s="135"/>
      <c r="D84" s="135"/>
      <c r="E84" s="135"/>
      <c r="F84" s="135"/>
      <c r="G84" s="136"/>
      <c r="H84" s="134" t="s">
        <v>350</v>
      </c>
      <c r="I84" s="135"/>
      <c r="J84" s="135"/>
      <c r="K84" s="135"/>
      <c r="L84" s="135"/>
      <c r="M84" s="135"/>
      <c r="N84" s="135"/>
      <c r="O84" s="135"/>
      <c r="P84" s="135"/>
      <c r="Q84" s="135"/>
      <c r="R84" s="135"/>
      <c r="S84" s="135"/>
      <c r="T84" s="135"/>
      <c r="U84" s="135"/>
      <c r="V84" s="135"/>
      <c r="W84" s="135"/>
      <c r="X84" s="135"/>
      <c r="Y84" s="135"/>
      <c r="Z84" s="135"/>
      <c r="AA84" s="136"/>
      <c r="AB84" s="138">
        <v>2</v>
      </c>
      <c r="AC84" s="138"/>
      <c r="AD84" s="138"/>
      <c r="AE84" s="138"/>
      <c r="AF84" s="138"/>
      <c r="AG84" s="137">
        <v>100</v>
      </c>
      <c r="AH84" s="137"/>
      <c r="AI84" s="137"/>
      <c r="AJ84" s="137"/>
      <c r="AK84" s="137"/>
      <c r="AL84" s="138">
        <v>0</v>
      </c>
      <c r="AM84" s="138"/>
      <c r="AN84" s="138"/>
      <c r="AO84" s="138"/>
      <c r="AP84" s="138"/>
      <c r="AQ84" s="137">
        <v>0</v>
      </c>
      <c r="AR84" s="137"/>
      <c r="AS84" s="137"/>
      <c r="AT84" s="137"/>
      <c r="AU84" s="137"/>
    </row>
    <row r="85" spans="2:47" ht="16.899999999999999" customHeight="1" x14ac:dyDescent="0.2">
      <c r="B85" s="134"/>
      <c r="C85" s="135"/>
      <c r="D85" s="135"/>
      <c r="E85" s="135"/>
      <c r="F85" s="135"/>
      <c r="G85" s="136"/>
      <c r="H85" s="134"/>
      <c r="I85" s="135"/>
      <c r="J85" s="135"/>
      <c r="K85" s="135"/>
      <c r="L85" s="135"/>
      <c r="M85" s="135"/>
      <c r="N85" s="135"/>
      <c r="O85" s="135"/>
      <c r="P85" s="135"/>
      <c r="Q85" s="135"/>
      <c r="R85" s="135"/>
      <c r="S85" s="135"/>
      <c r="T85" s="135"/>
      <c r="U85" s="135"/>
      <c r="V85" s="135"/>
      <c r="W85" s="135"/>
      <c r="X85" s="135"/>
      <c r="Y85" s="135"/>
      <c r="Z85" s="135"/>
      <c r="AA85" s="136"/>
      <c r="AB85" s="138"/>
      <c r="AC85" s="138"/>
      <c r="AD85" s="138"/>
      <c r="AE85" s="138"/>
      <c r="AF85" s="138"/>
      <c r="AG85" s="137"/>
      <c r="AH85" s="137"/>
      <c r="AI85" s="137"/>
      <c r="AJ85" s="137"/>
      <c r="AK85" s="137"/>
      <c r="AL85" s="138"/>
      <c r="AM85" s="138"/>
      <c r="AN85" s="138"/>
      <c r="AO85" s="138"/>
      <c r="AP85" s="138"/>
      <c r="AQ85" s="137"/>
      <c r="AR85" s="137"/>
      <c r="AS85" s="137"/>
      <c r="AT85" s="137"/>
      <c r="AU85" s="137"/>
    </row>
    <row r="86" spans="2:47" ht="16.899999999999999" customHeight="1" x14ac:dyDescent="0.2">
      <c r="B86" s="134"/>
      <c r="C86" s="135"/>
      <c r="D86" s="135"/>
      <c r="E86" s="135"/>
      <c r="F86" s="135"/>
      <c r="G86" s="136"/>
      <c r="H86" s="134"/>
      <c r="I86" s="135"/>
      <c r="J86" s="135"/>
      <c r="K86" s="135"/>
      <c r="L86" s="135"/>
      <c r="M86" s="135"/>
      <c r="N86" s="135"/>
      <c r="O86" s="135"/>
      <c r="P86" s="135"/>
      <c r="Q86" s="135"/>
      <c r="R86" s="135"/>
      <c r="S86" s="135"/>
      <c r="T86" s="135"/>
      <c r="U86" s="135"/>
      <c r="V86" s="135"/>
      <c r="W86" s="135"/>
      <c r="X86" s="135"/>
      <c r="Y86" s="135"/>
      <c r="Z86" s="135"/>
      <c r="AA86" s="136"/>
      <c r="AB86" s="138"/>
      <c r="AC86" s="138"/>
      <c r="AD86" s="138"/>
      <c r="AE86" s="138"/>
      <c r="AF86" s="138"/>
      <c r="AG86" s="137"/>
      <c r="AH86" s="137"/>
      <c r="AI86" s="137"/>
      <c r="AJ86" s="137"/>
      <c r="AK86" s="137"/>
      <c r="AL86" s="138"/>
      <c r="AM86" s="138"/>
      <c r="AN86" s="138"/>
      <c r="AO86" s="138"/>
      <c r="AP86" s="138"/>
      <c r="AQ86" s="137"/>
      <c r="AR86" s="137"/>
      <c r="AS86" s="137"/>
      <c r="AT86" s="137"/>
      <c r="AU86" s="137"/>
    </row>
    <row r="87" spans="2:47" ht="16.899999999999999" customHeight="1" x14ac:dyDescent="0.2">
      <c r="B87" s="134"/>
      <c r="C87" s="135"/>
      <c r="D87" s="135"/>
      <c r="E87" s="135"/>
      <c r="F87" s="135"/>
      <c r="G87" s="136"/>
      <c r="H87" s="134"/>
      <c r="I87" s="135"/>
      <c r="J87" s="135"/>
      <c r="K87" s="135"/>
      <c r="L87" s="135"/>
      <c r="M87" s="135"/>
      <c r="N87" s="135"/>
      <c r="O87" s="135"/>
      <c r="P87" s="135"/>
      <c r="Q87" s="135"/>
      <c r="R87" s="135"/>
      <c r="S87" s="135"/>
      <c r="T87" s="135"/>
      <c r="U87" s="135"/>
      <c r="V87" s="135"/>
      <c r="W87" s="135"/>
      <c r="X87" s="135"/>
      <c r="Y87" s="135"/>
      <c r="Z87" s="135"/>
      <c r="AA87" s="136"/>
      <c r="AB87" s="138"/>
      <c r="AC87" s="138"/>
      <c r="AD87" s="138"/>
      <c r="AE87" s="138"/>
      <c r="AF87" s="138"/>
      <c r="AG87" s="137"/>
      <c r="AH87" s="137"/>
      <c r="AI87" s="137"/>
      <c r="AJ87" s="137"/>
      <c r="AK87" s="137"/>
      <c r="AL87" s="138"/>
      <c r="AM87" s="138"/>
      <c r="AN87" s="138"/>
      <c r="AO87" s="138"/>
      <c r="AP87" s="138"/>
      <c r="AQ87" s="137"/>
      <c r="AR87" s="137"/>
      <c r="AS87" s="137"/>
      <c r="AT87" s="137"/>
      <c r="AU87" s="137"/>
    </row>
    <row r="88" spans="2:47" ht="16.899999999999999" customHeight="1" x14ac:dyDescent="0.2">
      <c r="B88" s="134"/>
      <c r="C88" s="135"/>
      <c r="D88" s="135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35"/>
      <c r="P88" s="135"/>
      <c r="Q88" s="135"/>
      <c r="R88" s="135"/>
      <c r="S88" s="135"/>
      <c r="T88" s="135"/>
      <c r="U88" s="135"/>
      <c r="V88" s="135"/>
      <c r="W88" s="135"/>
      <c r="X88" s="135"/>
      <c r="Y88" s="135"/>
      <c r="Z88" s="135"/>
      <c r="AA88" s="136"/>
      <c r="AB88" s="137">
        <v>2</v>
      </c>
      <c r="AC88" s="137"/>
      <c r="AD88" s="137"/>
      <c r="AE88" s="137"/>
      <c r="AF88" s="137"/>
      <c r="AG88" s="137">
        <v>100</v>
      </c>
      <c r="AH88" s="137"/>
      <c r="AI88" s="137"/>
      <c r="AJ88" s="137"/>
      <c r="AK88" s="137"/>
      <c r="AL88" s="137">
        <v>0</v>
      </c>
      <c r="AM88" s="137"/>
      <c r="AN88" s="137"/>
      <c r="AO88" s="137"/>
      <c r="AP88" s="137"/>
      <c r="AQ88" s="137">
        <v>0</v>
      </c>
      <c r="AR88" s="137"/>
      <c r="AS88" s="137"/>
      <c r="AT88" s="137"/>
      <c r="AU88" s="137"/>
    </row>
    <row r="89" spans="2:47" ht="5.45" customHeight="1" x14ac:dyDescent="0.2"/>
    <row r="90" spans="2:47" x14ac:dyDescent="0.2">
      <c r="B90" s="2" t="s">
        <v>51</v>
      </c>
    </row>
    <row r="91" spans="2:47" ht="5.45" customHeight="1" x14ac:dyDescent="0.2"/>
    <row r="92" spans="2:47" x14ac:dyDescent="0.2">
      <c r="B92" s="1" t="s">
        <v>56</v>
      </c>
      <c r="O92" s="4"/>
      <c r="P92" s="130" t="s">
        <v>357</v>
      </c>
      <c r="Q92" s="130"/>
      <c r="R92" s="130"/>
      <c r="S92" s="130"/>
      <c r="T92" s="130"/>
      <c r="U92" s="130"/>
      <c r="V92" s="130"/>
      <c r="W92" s="130"/>
      <c r="X92" s="130"/>
      <c r="Y92" s="130"/>
      <c r="Z92" s="130"/>
      <c r="AA92" s="130"/>
      <c r="AB92" s="130"/>
      <c r="AC92" s="130"/>
      <c r="AD92" s="130"/>
      <c r="AE92" s="130"/>
      <c r="AF92" s="130"/>
      <c r="AG92" s="130"/>
      <c r="AH92" s="130"/>
      <c r="AI92" s="130"/>
      <c r="AJ92" s="130"/>
      <c r="AK92" s="130"/>
      <c r="AL92" s="130"/>
      <c r="AM92" s="130"/>
      <c r="AN92" s="130"/>
      <c r="AO92" s="130"/>
      <c r="AP92" s="130"/>
      <c r="AQ92" s="130"/>
      <c r="AR92" s="130"/>
      <c r="AS92" s="130"/>
      <c r="AT92" s="130"/>
      <c r="AU92" s="130"/>
    </row>
    <row r="93" spans="2:47" ht="16.899999999999999" customHeight="1" x14ac:dyDescent="0.2">
      <c r="B93" s="130"/>
      <c r="C93" s="130"/>
      <c r="D93" s="130"/>
      <c r="E93" s="130"/>
      <c r="F93" s="130"/>
      <c r="G93" s="130"/>
      <c r="H93" s="130"/>
      <c r="I93" s="130"/>
      <c r="J93" s="130"/>
      <c r="K93" s="130"/>
      <c r="L93" s="130"/>
      <c r="M93" s="130"/>
      <c r="N93" s="130"/>
      <c r="O93" s="130"/>
      <c r="P93" s="130"/>
      <c r="Q93" s="130"/>
      <c r="R93" s="130"/>
      <c r="S93" s="130"/>
      <c r="T93" s="130"/>
      <c r="U93" s="130"/>
      <c r="V93" s="130"/>
      <c r="W93" s="130"/>
      <c r="X93" s="130"/>
      <c r="Y93" s="130"/>
      <c r="Z93" s="130"/>
      <c r="AA93" s="130"/>
      <c r="AB93" s="130"/>
      <c r="AC93" s="130"/>
      <c r="AD93" s="130"/>
      <c r="AE93" s="130"/>
      <c r="AF93" s="130"/>
      <c r="AG93" s="130"/>
      <c r="AH93" s="130"/>
      <c r="AI93" s="130"/>
      <c r="AJ93" s="130"/>
      <c r="AK93" s="130"/>
      <c r="AL93" s="130"/>
      <c r="AM93" s="130"/>
      <c r="AN93" s="130"/>
      <c r="AO93" s="130"/>
      <c r="AP93" s="130"/>
      <c r="AQ93" s="130"/>
      <c r="AR93" s="130"/>
      <c r="AS93" s="130"/>
      <c r="AT93" s="130"/>
      <c r="AU93" s="130"/>
    </row>
    <row r="94" spans="2:47" ht="16.899999999999999" customHeight="1" x14ac:dyDescent="0.2">
      <c r="B94" s="130"/>
      <c r="C94" s="130"/>
      <c r="D94" s="130"/>
      <c r="E94" s="130"/>
      <c r="F94" s="130"/>
      <c r="G94" s="130"/>
      <c r="H94" s="130"/>
      <c r="I94" s="130"/>
      <c r="J94" s="130"/>
      <c r="K94" s="130"/>
      <c r="L94" s="130"/>
      <c r="M94" s="130"/>
      <c r="N94" s="130"/>
      <c r="O94" s="130"/>
      <c r="P94" s="130"/>
      <c r="Q94" s="130"/>
      <c r="R94" s="130"/>
      <c r="S94" s="130"/>
      <c r="T94" s="130"/>
      <c r="U94" s="130"/>
      <c r="V94" s="130"/>
      <c r="W94" s="130"/>
      <c r="X94" s="130"/>
      <c r="Y94" s="130"/>
      <c r="Z94" s="130"/>
      <c r="AA94" s="130"/>
      <c r="AB94" s="130"/>
      <c r="AC94" s="130"/>
      <c r="AD94" s="130"/>
      <c r="AE94" s="130"/>
      <c r="AF94" s="130"/>
      <c r="AG94" s="130"/>
      <c r="AH94" s="130"/>
      <c r="AI94" s="130"/>
      <c r="AJ94" s="130"/>
      <c r="AK94" s="130"/>
      <c r="AL94" s="130"/>
      <c r="AM94" s="130"/>
      <c r="AN94" s="130"/>
      <c r="AO94" s="130"/>
      <c r="AP94" s="130"/>
      <c r="AQ94" s="130"/>
      <c r="AR94" s="130"/>
      <c r="AS94" s="130"/>
      <c r="AT94" s="130"/>
      <c r="AU94" s="130"/>
    </row>
    <row r="95" spans="2:47" ht="5.45" customHeight="1" x14ac:dyDescent="0.2"/>
    <row r="96" spans="2:47" x14ac:dyDescent="0.2">
      <c r="B96" s="1" t="s">
        <v>57</v>
      </c>
      <c r="K96" s="4"/>
      <c r="L96" s="130" t="s">
        <v>359</v>
      </c>
      <c r="M96" s="130"/>
      <c r="N96" s="130"/>
      <c r="O96" s="130"/>
      <c r="P96" s="130"/>
      <c r="Q96" s="130"/>
      <c r="R96" s="130"/>
      <c r="S96" s="130"/>
      <c r="T96" s="130"/>
      <c r="U96" s="130"/>
      <c r="V96" s="130"/>
      <c r="W96" s="130"/>
      <c r="X96" s="130"/>
      <c r="Y96" s="130"/>
      <c r="Z96" s="130"/>
      <c r="AA96" s="130"/>
      <c r="AB96" s="130"/>
      <c r="AC96" s="130"/>
      <c r="AD96" s="130"/>
      <c r="AE96" s="130"/>
      <c r="AF96" s="130"/>
      <c r="AG96" s="130"/>
      <c r="AH96" s="130"/>
      <c r="AI96" s="130"/>
      <c r="AJ96" s="130"/>
      <c r="AK96" s="130"/>
      <c r="AL96" s="130"/>
      <c r="AM96" s="130"/>
      <c r="AN96" s="130"/>
      <c r="AO96" s="130"/>
      <c r="AP96" s="130"/>
      <c r="AQ96" s="130"/>
      <c r="AR96" s="130"/>
      <c r="AS96" s="130"/>
      <c r="AT96" s="130"/>
      <c r="AU96" s="130"/>
    </row>
    <row r="97" spans="2:47" ht="16.899999999999999" customHeight="1" x14ac:dyDescent="0.2">
      <c r="B97" s="130"/>
      <c r="C97" s="130"/>
      <c r="D97" s="130"/>
      <c r="E97" s="130"/>
      <c r="F97" s="130"/>
      <c r="G97" s="130"/>
      <c r="H97" s="130"/>
      <c r="I97" s="130"/>
      <c r="J97" s="130"/>
      <c r="K97" s="130"/>
      <c r="L97" s="130"/>
      <c r="M97" s="130"/>
      <c r="N97" s="130"/>
      <c r="O97" s="130"/>
      <c r="P97" s="130"/>
      <c r="Q97" s="130"/>
      <c r="R97" s="130"/>
      <c r="S97" s="130"/>
      <c r="T97" s="130"/>
      <c r="U97" s="130"/>
      <c r="V97" s="130"/>
      <c r="W97" s="130"/>
      <c r="X97" s="130"/>
      <c r="Y97" s="130"/>
      <c r="Z97" s="130"/>
      <c r="AA97" s="130"/>
      <c r="AB97" s="130"/>
      <c r="AC97" s="130"/>
      <c r="AD97" s="130"/>
      <c r="AE97" s="130"/>
      <c r="AF97" s="130"/>
      <c r="AG97" s="130"/>
      <c r="AH97" s="130"/>
      <c r="AI97" s="130"/>
      <c r="AJ97" s="130"/>
      <c r="AK97" s="130"/>
      <c r="AL97" s="130"/>
      <c r="AM97" s="130"/>
      <c r="AN97" s="130"/>
      <c r="AO97" s="130"/>
      <c r="AP97" s="130"/>
      <c r="AQ97" s="130"/>
      <c r="AR97" s="130"/>
      <c r="AS97" s="130"/>
      <c r="AT97" s="130"/>
      <c r="AU97" s="130"/>
    </row>
    <row r="98" spans="2:47" ht="16.899999999999999" customHeight="1" x14ac:dyDescent="0.2">
      <c r="B98" s="130"/>
      <c r="C98" s="130"/>
      <c r="D98" s="130"/>
      <c r="E98" s="130"/>
      <c r="F98" s="130"/>
      <c r="G98" s="130"/>
      <c r="H98" s="130"/>
      <c r="I98" s="130"/>
      <c r="J98" s="130"/>
      <c r="K98" s="130"/>
      <c r="L98" s="130"/>
      <c r="M98" s="130"/>
      <c r="N98" s="130"/>
      <c r="O98" s="130"/>
      <c r="P98" s="130"/>
      <c r="Q98" s="130"/>
      <c r="R98" s="130"/>
      <c r="S98" s="130"/>
      <c r="T98" s="130"/>
      <c r="U98" s="130"/>
      <c r="V98" s="130"/>
      <c r="W98" s="130"/>
      <c r="X98" s="130"/>
      <c r="Y98" s="130"/>
      <c r="Z98" s="130"/>
      <c r="AA98" s="130"/>
      <c r="AB98" s="130"/>
      <c r="AC98" s="130"/>
      <c r="AD98" s="130"/>
      <c r="AE98" s="130"/>
      <c r="AF98" s="130"/>
      <c r="AG98" s="130"/>
      <c r="AH98" s="130"/>
      <c r="AI98" s="130"/>
      <c r="AJ98" s="130"/>
      <c r="AK98" s="130"/>
      <c r="AL98" s="130"/>
      <c r="AM98" s="130"/>
      <c r="AN98" s="130"/>
      <c r="AO98" s="130"/>
      <c r="AP98" s="130"/>
      <c r="AQ98" s="130"/>
      <c r="AR98" s="130"/>
      <c r="AS98" s="130"/>
      <c r="AT98" s="130"/>
      <c r="AU98" s="130"/>
    </row>
    <row r="99" spans="2:47" ht="5.45" customHeight="1" x14ac:dyDescent="0.2"/>
    <row r="100" spans="2:47" x14ac:dyDescent="0.2">
      <c r="B100" s="133" t="s">
        <v>58</v>
      </c>
      <c r="C100" s="133"/>
      <c r="D100" s="133"/>
      <c r="E100" s="133"/>
      <c r="F100" s="133"/>
      <c r="G100" s="133"/>
      <c r="H100" s="133"/>
      <c r="I100" s="133"/>
      <c r="J100" s="133"/>
      <c r="K100" s="133"/>
      <c r="L100" s="133"/>
      <c r="M100" s="133"/>
      <c r="N100" s="133"/>
      <c r="O100" s="130" t="s">
        <v>358</v>
      </c>
      <c r="P100" s="130"/>
      <c r="Q100" s="130"/>
      <c r="R100" s="130"/>
      <c r="S100" s="130"/>
      <c r="T100" s="130"/>
      <c r="U100" s="130"/>
      <c r="V100" s="130"/>
      <c r="W100" s="130"/>
      <c r="X100" s="130"/>
      <c r="Y100" s="130"/>
      <c r="Z100" s="130"/>
      <c r="AA100" s="130"/>
      <c r="AB100" s="130"/>
      <c r="AC100" s="130"/>
      <c r="AD100" s="130"/>
      <c r="AE100" s="130"/>
      <c r="AF100" s="130"/>
      <c r="AG100" s="130"/>
      <c r="AH100" s="130"/>
      <c r="AI100" s="130"/>
      <c r="AJ100" s="130"/>
      <c r="AK100" s="130"/>
      <c r="AL100" s="130"/>
      <c r="AM100" s="130"/>
      <c r="AN100" s="130"/>
      <c r="AO100" s="130"/>
      <c r="AP100" s="130"/>
      <c r="AQ100" s="130"/>
      <c r="AR100" s="130"/>
      <c r="AS100" s="130"/>
      <c r="AT100" s="130"/>
      <c r="AU100" s="130"/>
    </row>
    <row r="101" spans="2:47" ht="16.899999999999999" customHeight="1" x14ac:dyDescent="0.2">
      <c r="B101" s="130"/>
      <c r="C101" s="130"/>
      <c r="D101" s="130"/>
      <c r="E101" s="130"/>
      <c r="F101" s="130"/>
      <c r="G101" s="130"/>
      <c r="H101" s="130"/>
      <c r="I101" s="130"/>
      <c r="J101" s="130"/>
      <c r="K101" s="130"/>
      <c r="L101" s="130"/>
      <c r="M101" s="130"/>
      <c r="N101" s="130"/>
      <c r="O101" s="130"/>
      <c r="P101" s="130"/>
      <c r="Q101" s="130"/>
      <c r="R101" s="130"/>
      <c r="S101" s="130"/>
      <c r="T101" s="130"/>
      <c r="U101" s="130"/>
      <c r="V101" s="130"/>
      <c r="W101" s="130"/>
      <c r="X101" s="130"/>
      <c r="Y101" s="130"/>
      <c r="Z101" s="130"/>
      <c r="AA101" s="130"/>
      <c r="AB101" s="130"/>
      <c r="AC101" s="130"/>
      <c r="AD101" s="130"/>
      <c r="AE101" s="130"/>
      <c r="AF101" s="130"/>
      <c r="AG101" s="130"/>
      <c r="AH101" s="130"/>
      <c r="AI101" s="130"/>
      <c r="AJ101" s="130"/>
      <c r="AK101" s="130"/>
      <c r="AL101" s="130"/>
      <c r="AM101" s="130"/>
      <c r="AN101" s="130"/>
      <c r="AO101" s="130"/>
      <c r="AP101" s="130"/>
      <c r="AQ101" s="130"/>
      <c r="AR101" s="130"/>
      <c r="AS101" s="130"/>
      <c r="AT101" s="130"/>
      <c r="AU101" s="130"/>
    </row>
    <row r="102" spans="2:47" ht="16.899999999999999" customHeight="1" x14ac:dyDescent="0.2">
      <c r="B102" s="130"/>
      <c r="C102" s="130"/>
      <c r="D102" s="130"/>
      <c r="E102" s="130"/>
      <c r="F102" s="130"/>
      <c r="G102" s="130"/>
      <c r="H102" s="130"/>
      <c r="I102" s="130"/>
      <c r="J102" s="130"/>
      <c r="K102" s="130"/>
      <c r="L102" s="130"/>
      <c r="M102" s="130"/>
      <c r="N102" s="130"/>
      <c r="O102" s="130"/>
      <c r="P102" s="130"/>
      <c r="Q102" s="130"/>
      <c r="R102" s="130"/>
      <c r="S102" s="130"/>
      <c r="T102" s="130"/>
      <c r="U102" s="130"/>
      <c r="V102" s="130"/>
      <c r="W102" s="130"/>
      <c r="X102" s="130"/>
      <c r="Y102" s="130"/>
      <c r="Z102" s="130"/>
      <c r="AA102" s="130"/>
      <c r="AB102" s="130"/>
      <c r="AC102" s="130"/>
      <c r="AD102" s="130"/>
      <c r="AE102" s="130"/>
      <c r="AF102" s="130"/>
      <c r="AG102" s="130"/>
      <c r="AH102" s="130"/>
      <c r="AI102" s="130"/>
      <c r="AJ102" s="130"/>
      <c r="AK102" s="130"/>
      <c r="AL102" s="130"/>
      <c r="AM102" s="130"/>
      <c r="AN102" s="130"/>
      <c r="AO102" s="130"/>
      <c r="AP102" s="130"/>
      <c r="AQ102" s="130"/>
      <c r="AR102" s="130"/>
      <c r="AS102" s="130"/>
      <c r="AT102" s="130"/>
      <c r="AU102" s="130"/>
    </row>
    <row r="103" spans="2:47" ht="5.45" customHeight="1" x14ac:dyDescent="0.2"/>
    <row r="104" spans="2:47" x14ac:dyDescent="0.2">
      <c r="B104" s="2" t="s">
        <v>52</v>
      </c>
    </row>
    <row r="105" spans="2:47" ht="20.25" customHeight="1" x14ac:dyDescent="0.2">
      <c r="B105" s="130" t="s">
        <v>353</v>
      </c>
      <c r="C105" s="130"/>
      <c r="D105" s="130"/>
      <c r="E105" s="130"/>
      <c r="F105" s="130"/>
      <c r="G105" s="130"/>
      <c r="H105" s="130"/>
      <c r="I105" s="130"/>
      <c r="J105" s="130"/>
      <c r="K105" s="130"/>
      <c r="L105" s="130"/>
      <c r="M105" s="130"/>
      <c r="N105" s="130"/>
      <c r="O105" s="130"/>
      <c r="P105" s="130"/>
      <c r="Q105" s="130"/>
      <c r="R105" s="130"/>
      <c r="S105" s="130"/>
      <c r="T105" s="130"/>
      <c r="U105" s="130"/>
      <c r="V105" s="130"/>
      <c r="W105" s="130"/>
      <c r="X105" s="130"/>
      <c r="Y105" s="130"/>
      <c r="Z105" s="130"/>
      <c r="AA105" s="130"/>
      <c r="AB105" s="130"/>
      <c r="AC105" s="130"/>
      <c r="AD105" s="130"/>
      <c r="AE105" s="130"/>
      <c r="AF105" s="130"/>
      <c r="AG105" s="130"/>
      <c r="AH105" s="130"/>
      <c r="AI105" s="130"/>
      <c r="AJ105" s="130"/>
      <c r="AK105" s="130"/>
      <c r="AL105" s="130"/>
      <c r="AM105" s="130"/>
      <c r="AN105" s="130"/>
      <c r="AO105" s="130"/>
      <c r="AP105" s="130"/>
      <c r="AQ105" s="130"/>
      <c r="AR105" s="130"/>
      <c r="AS105" s="130"/>
      <c r="AT105" s="130"/>
      <c r="AU105" s="130"/>
    </row>
    <row r="106" spans="2:47" ht="16.899999999999999" customHeight="1" x14ac:dyDescent="0.2">
      <c r="B106" s="130" t="s">
        <v>339</v>
      </c>
      <c r="C106" s="130"/>
      <c r="D106" s="130"/>
      <c r="E106" s="130"/>
      <c r="F106" s="130"/>
      <c r="G106" s="130"/>
      <c r="H106" s="130"/>
      <c r="I106" s="130"/>
      <c r="J106" s="130"/>
      <c r="K106" s="130"/>
      <c r="L106" s="130"/>
      <c r="M106" s="130"/>
      <c r="N106" s="130"/>
      <c r="O106" s="130"/>
      <c r="P106" s="130"/>
      <c r="Q106" s="130"/>
      <c r="R106" s="130"/>
      <c r="S106" s="130"/>
      <c r="T106" s="130"/>
      <c r="U106" s="130"/>
      <c r="V106" s="130"/>
      <c r="W106" s="130"/>
      <c r="X106" s="130"/>
      <c r="Y106" s="130"/>
      <c r="Z106" s="130"/>
      <c r="AA106" s="130"/>
      <c r="AB106" s="130"/>
      <c r="AC106" s="130"/>
      <c r="AD106" s="130"/>
      <c r="AE106" s="130"/>
      <c r="AF106" s="130"/>
      <c r="AG106" s="130"/>
      <c r="AH106" s="130"/>
      <c r="AI106" s="130"/>
      <c r="AJ106" s="130"/>
      <c r="AK106" s="130"/>
      <c r="AL106" s="130"/>
      <c r="AM106" s="130"/>
      <c r="AN106" s="130"/>
      <c r="AO106" s="130"/>
      <c r="AP106" s="130"/>
      <c r="AQ106" s="130"/>
      <c r="AR106" s="130"/>
      <c r="AS106" s="130"/>
      <c r="AT106" s="130"/>
      <c r="AU106" s="130"/>
    </row>
    <row r="107" spans="2:47" ht="16.899999999999999" customHeight="1" x14ac:dyDescent="0.2">
      <c r="B107" s="130" t="s">
        <v>360</v>
      </c>
      <c r="C107" s="130"/>
      <c r="D107" s="130"/>
      <c r="E107" s="130"/>
      <c r="F107" s="130"/>
      <c r="G107" s="130"/>
      <c r="H107" s="130"/>
      <c r="I107" s="130"/>
      <c r="J107" s="130"/>
      <c r="K107" s="130"/>
      <c r="L107" s="130"/>
      <c r="M107" s="130"/>
      <c r="N107" s="130"/>
      <c r="O107" s="130"/>
      <c r="P107" s="130"/>
      <c r="Q107" s="130"/>
      <c r="R107" s="130"/>
      <c r="S107" s="130"/>
      <c r="T107" s="130"/>
      <c r="U107" s="130"/>
      <c r="V107" s="130"/>
      <c r="W107" s="130"/>
      <c r="X107" s="130"/>
      <c r="Y107" s="130"/>
      <c r="Z107" s="130"/>
      <c r="AA107" s="130"/>
      <c r="AB107" s="130"/>
      <c r="AC107" s="130"/>
      <c r="AD107" s="130"/>
      <c r="AE107" s="130"/>
      <c r="AF107" s="130"/>
      <c r="AG107" s="130"/>
      <c r="AH107" s="130"/>
      <c r="AI107" s="130"/>
      <c r="AJ107" s="130"/>
      <c r="AK107" s="130"/>
      <c r="AL107" s="130"/>
      <c r="AM107" s="130"/>
      <c r="AN107" s="130"/>
      <c r="AO107" s="130"/>
      <c r="AP107" s="130"/>
      <c r="AQ107" s="130"/>
      <c r="AR107" s="130"/>
      <c r="AS107" s="130"/>
      <c r="AT107" s="130"/>
      <c r="AU107" s="130"/>
    </row>
    <row r="108" spans="2:47" ht="16.899999999999999" customHeight="1" x14ac:dyDescent="0.2">
      <c r="B108" s="130" t="s">
        <v>340</v>
      </c>
      <c r="C108" s="130"/>
      <c r="D108" s="130"/>
      <c r="E108" s="130"/>
      <c r="F108" s="130"/>
      <c r="G108" s="130"/>
      <c r="H108" s="130"/>
      <c r="I108" s="130"/>
      <c r="J108" s="130"/>
      <c r="K108" s="130"/>
      <c r="L108" s="130"/>
      <c r="M108" s="130"/>
      <c r="N108" s="130"/>
      <c r="O108" s="130"/>
      <c r="P108" s="130"/>
      <c r="Q108" s="130"/>
      <c r="R108" s="130"/>
      <c r="S108" s="130"/>
      <c r="T108" s="130"/>
      <c r="U108" s="130"/>
      <c r="V108" s="130"/>
      <c r="W108" s="130"/>
      <c r="X108" s="130"/>
      <c r="Y108" s="130"/>
      <c r="Z108" s="130"/>
      <c r="AA108" s="130"/>
      <c r="AB108" s="130"/>
      <c r="AC108" s="130"/>
      <c r="AD108" s="130"/>
      <c r="AE108" s="130"/>
      <c r="AF108" s="130"/>
      <c r="AG108" s="130"/>
      <c r="AH108" s="130"/>
      <c r="AI108" s="130"/>
      <c r="AJ108" s="130"/>
      <c r="AK108" s="130"/>
      <c r="AL108" s="130"/>
      <c r="AM108" s="130"/>
      <c r="AN108" s="130"/>
      <c r="AO108" s="130"/>
      <c r="AP108" s="130"/>
      <c r="AQ108" s="130"/>
      <c r="AR108" s="130"/>
      <c r="AS108" s="130"/>
      <c r="AT108" s="130"/>
      <c r="AU108" s="130"/>
    </row>
    <row r="109" spans="2:47" ht="16.899999999999999" customHeight="1" x14ac:dyDescent="0.2">
      <c r="B109" s="130"/>
      <c r="C109" s="130"/>
      <c r="D109" s="130"/>
      <c r="E109" s="130"/>
      <c r="F109" s="130"/>
      <c r="G109" s="130"/>
      <c r="H109" s="130"/>
      <c r="I109" s="130"/>
      <c r="J109" s="130"/>
      <c r="K109" s="130"/>
      <c r="L109" s="130"/>
      <c r="M109" s="130"/>
      <c r="N109" s="130"/>
      <c r="O109" s="130"/>
      <c r="P109" s="130"/>
      <c r="Q109" s="130"/>
      <c r="R109" s="130"/>
      <c r="S109" s="130"/>
      <c r="T109" s="130"/>
      <c r="U109" s="130"/>
      <c r="V109" s="130"/>
      <c r="W109" s="130"/>
      <c r="X109" s="130"/>
      <c r="Y109" s="130"/>
      <c r="Z109" s="130"/>
      <c r="AA109" s="130"/>
      <c r="AB109" s="130"/>
      <c r="AC109" s="130"/>
      <c r="AD109" s="130"/>
      <c r="AE109" s="130"/>
      <c r="AF109" s="130"/>
      <c r="AG109" s="130"/>
      <c r="AH109" s="130"/>
      <c r="AI109" s="130"/>
      <c r="AJ109" s="130"/>
      <c r="AK109" s="130"/>
      <c r="AL109" s="130"/>
      <c r="AM109" s="130"/>
      <c r="AN109" s="130"/>
      <c r="AO109" s="130"/>
      <c r="AP109" s="130"/>
      <c r="AQ109" s="130"/>
      <c r="AR109" s="130"/>
      <c r="AS109" s="130"/>
      <c r="AT109" s="130"/>
      <c r="AU109" s="130"/>
    </row>
    <row r="110" spans="2:47" x14ac:dyDescent="0.2"/>
    <row r="111" spans="2:47" x14ac:dyDescent="0.2"/>
    <row r="112" spans="2:47" ht="15" customHeight="1" x14ac:dyDescent="0.2">
      <c r="B112" s="131" t="s">
        <v>338</v>
      </c>
      <c r="C112" s="131"/>
      <c r="D112" s="131"/>
      <c r="E112" s="131"/>
      <c r="F112" s="131"/>
      <c r="G112" s="131"/>
      <c r="H112" s="131"/>
      <c r="I112" s="131"/>
      <c r="J112" s="131"/>
      <c r="K112" s="131"/>
      <c r="L112" s="131"/>
      <c r="M112" s="131"/>
      <c r="N112" s="131"/>
      <c r="O112" s="131"/>
      <c r="Q112" s="4"/>
      <c r="R112" s="131" t="s">
        <v>338</v>
      </c>
      <c r="S112" s="131"/>
      <c r="T112" s="131"/>
      <c r="U112" s="131"/>
      <c r="V112" s="131"/>
      <c r="W112" s="131"/>
      <c r="X112" s="131"/>
      <c r="Y112" s="131"/>
      <c r="Z112" s="131"/>
      <c r="AA112" s="131"/>
      <c r="AB112" s="131"/>
      <c r="AC112" s="131"/>
      <c r="AD112" s="131"/>
      <c r="AE112" s="131"/>
      <c r="AG112" s="1" t="s">
        <v>70</v>
      </c>
      <c r="AH112" s="131" t="s">
        <v>365</v>
      </c>
      <c r="AI112" s="131"/>
      <c r="AJ112" s="131"/>
      <c r="AK112" s="131"/>
      <c r="AL112" s="131"/>
      <c r="AM112" s="131"/>
      <c r="AN112" s="131"/>
      <c r="AO112" s="131"/>
      <c r="AP112" s="131"/>
      <c r="AQ112" s="131"/>
      <c r="AR112" s="131"/>
      <c r="AS112" s="131"/>
      <c r="AT112" s="131"/>
      <c r="AU112" s="131"/>
    </row>
    <row r="113" spans="2:47" x14ac:dyDescent="0.2">
      <c r="B113" s="132" t="s">
        <v>53</v>
      </c>
      <c r="C113" s="132"/>
      <c r="D113" s="132"/>
      <c r="E113" s="132"/>
      <c r="F113" s="132"/>
      <c r="G113" s="132"/>
      <c r="H113" s="132"/>
      <c r="I113" s="132"/>
      <c r="J113" s="132"/>
      <c r="K113" s="132"/>
      <c r="L113" s="132"/>
      <c r="M113" s="132"/>
      <c r="N113" s="132"/>
      <c r="O113" s="132"/>
      <c r="R113" s="132" t="s">
        <v>54</v>
      </c>
      <c r="S113" s="132"/>
      <c r="T113" s="132"/>
      <c r="U113" s="132"/>
      <c r="V113" s="132"/>
      <c r="W113" s="132"/>
      <c r="X113" s="132"/>
      <c r="Y113" s="132"/>
      <c r="Z113" s="132"/>
      <c r="AA113" s="132"/>
      <c r="AB113" s="132"/>
      <c r="AC113" s="132"/>
      <c r="AD113" s="132"/>
      <c r="AE113" s="132"/>
      <c r="AH113" s="132" t="s">
        <v>55</v>
      </c>
      <c r="AI113" s="132"/>
      <c r="AJ113" s="132"/>
      <c r="AK113" s="132"/>
      <c r="AL113" s="132"/>
      <c r="AM113" s="132"/>
      <c r="AN113" s="132"/>
      <c r="AO113" s="132"/>
      <c r="AP113" s="132"/>
      <c r="AQ113" s="132"/>
      <c r="AR113" s="132"/>
      <c r="AS113" s="132"/>
      <c r="AT113" s="132"/>
      <c r="AU113" s="132"/>
    </row>
    <row r="114" spans="2:47" x14ac:dyDescent="0.2"/>
    <row r="115" spans="2:47" x14ac:dyDescent="0.2">
      <c r="B115" s="20" t="s">
        <v>59</v>
      </c>
    </row>
    <row r="116" spans="2:47" x14ac:dyDescent="0.2">
      <c r="B116" s="20" t="s">
        <v>60</v>
      </c>
    </row>
  </sheetData>
  <mergeCells count="306">
    <mergeCell ref="A2:AV2"/>
    <mergeCell ref="A3:AV3"/>
    <mergeCell ref="I9:S9"/>
    <mergeCell ref="T9:Y9"/>
    <mergeCell ref="Z9:AG9"/>
    <mergeCell ref="AM9:AU9"/>
    <mergeCell ref="AE16:AI16"/>
    <mergeCell ref="AN16:AO16"/>
    <mergeCell ref="AP16:AQ16"/>
    <mergeCell ref="AR16:AU16"/>
    <mergeCell ref="BE16:BG16"/>
    <mergeCell ref="AN17:AO17"/>
    <mergeCell ref="AP17:AQ17"/>
    <mergeCell ref="AR17:AU17"/>
    <mergeCell ref="B11:E11"/>
    <mergeCell ref="F11:M11"/>
    <mergeCell ref="X11:AG11"/>
    <mergeCell ref="AP11:AU11"/>
    <mergeCell ref="BA11:BI13"/>
    <mergeCell ref="F13:L13"/>
    <mergeCell ref="L21:M21"/>
    <mergeCell ref="N21:O21"/>
    <mergeCell ref="P21:S21"/>
    <mergeCell ref="AH21:AI21"/>
    <mergeCell ref="AJ21:AK21"/>
    <mergeCell ref="AL21:AO21"/>
    <mergeCell ref="G18:Y18"/>
    <mergeCell ref="AE18:AU18"/>
    <mergeCell ref="L20:M20"/>
    <mergeCell ref="N20:O20"/>
    <mergeCell ref="P20:S20"/>
    <mergeCell ref="AH20:AI20"/>
    <mergeCell ref="AJ20:AK20"/>
    <mergeCell ref="AL20:AO20"/>
    <mergeCell ref="AS20:AU20"/>
    <mergeCell ref="H23:J23"/>
    <mergeCell ref="S23:U23"/>
    <mergeCell ref="AB23:AD23"/>
    <mergeCell ref="AL23:AN23"/>
    <mergeCell ref="B29:E30"/>
    <mergeCell ref="F29:S29"/>
    <mergeCell ref="T29:AG29"/>
    <mergeCell ref="AH29:AU29"/>
    <mergeCell ref="F30:J30"/>
    <mergeCell ref="K30:O30"/>
    <mergeCell ref="AR30:AU30"/>
    <mergeCell ref="P30:S30"/>
    <mergeCell ref="T30:X30"/>
    <mergeCell ref="Y30:AC30"/>
    <mergeCell ref="AD30:AG30"/>
    <mergeCell ref="AH30:AL30"/>
    <mergeCell ref="AM30:AQ30"/>
    <mergeCell ref="AR31:AU31"/>
    <mergeCell ref="B32:E32"/>
    <mergeCell ref="F32:J32"/>
    <mergeCell ref="K32:O32"/>
    <mergeCell ref="P32:S32"/>
    <mergeCell ref="T32:X32"/>
    <mergeCell ref="Y32:AC32"/>
    <mergeCell ref="AD32:AG32"/>
    <mergeCell ref="AH32:AL32"/>
    <mergeCell ref="AM32:AQ32"/>
    <mergeCell ref="AR32:AU32"/>
    <mergeCell ref="B31:E31"/>
    <mergeCell ref="F31:J31"/>
    <mergeCell ref="K31:O31"/>
    <mergeCell ref="P31:S31"/>
    <mergeCell ref="T31:X31"/>
    <mergeCell ref="Y31:AC31"/>
    <mergeCell ref="AD31:AG31"/>
    <mergeCell ref="AH31:AL31"/>
    <mergeCell ref="AM31:AQ31"/>
    <mergeCell ref="AR33:AU33"/>
    <mergeCell ref="B34:E34"/>
    <mergeCell ref="F34:J34"/>
    <mergeCell ref="K34:O34"/>
    <mergeCell ref="P34:S34"/>
    <mergeCell ref="T34:X34"/>
    <mergeCell ref="Y34:AC34"/>
    <mergeCell ref="AD34:AG34"/>
    <mergeCell ref="AH34:AL34"/>
    <mergeCell ref="AM34:AQ34"/>
    <mergeCell ref="AR34:AU34"/>
    <mergeCell ref="B33:E33"/>
    <mergeCell ref="F33:J33"/>
    <mergeCell ref="K33:O33"/>
    <mergeCell ref="P33:S33"/>
    <mergeCell ref="T33:X33"/>
    <mergeCell ref="Y33:AC33"/>
    <mergeCell ref="AD33:AG33"/>
    <mergeCell ref="AH33:AL33"/>
    <mergeCell ref="AM33:AQ33"/>
    <mergeCell ref="AR35:AU35"/>
    <mergeCell ref="B36:E36"/>
    <mergeCell ref="F36:J36"/>
    <mergeCell ref="K36:O36"/>
    <mergeCell ref="P36:S36"/>
    <mergeCell ref="T36:X36"/>
    <mergeCell ref="Y36:AC36"/>
    <mergeCell ref="AD36:AG36"/>
    <mergeCell ref="AH36:AL36"/>
    <mergeCell ref="AM36:AQ36"/>
    <mergeCell ref="AR36:AU36"/>
    <mergeCell ref="B35:E35"/>
    <mergeCell ref="F35:J35"/>
    <mergeCell ref="K35:O35"/>
    <mergeCell ref="P35:S35"/>
    <mergeCell ref="T35:X35"/>
    <mergeCell ref="Y35:AC35"/>
    <mergeCell ref="AD35:AG35"/>
    <mergeCell ref="AH35:AL35"/>
    <mergeCell ref="AM35:AQ35"/>
    <mergeCell ref="AM39:AQ39"/>
    <mergeCell ref="AR37:AU37"/>
    <mergeCell ref="B38:E38"/>
    <mergeCell ref="F38:J38"/>
    <mergeCell ref="K38:O38"/>
    <mergeCell ref="P38:S38"/>
    <mergeCell ref="T38:X38"/>
    <mergeCell ref="Y38:AC38"/>
    <mergeCell ref="AD38:AG38"/>
    <mergeCell ref="AH38:AL38"/>
    <mergeCell ref="AM38:AQ38"/>
    <mergeCell ref="AR38:AU38"/>
    <mergeCell ref="B37:E37"/>
    <mergeCell ref="F37:J37"/>
    <mergeCell ref="K37:O37"/>
    <mergeCell ref="P37:S37"/>
    <mergeCell ref="T37:X37"/>
    <mergeCell ref="Y37:AC37"/>
    <mergeCell ref="AD37:AG37"/>
    <mergeCell ref="AH37:AL37"/>
    <mergeCell ref="AM37:AQ37"/>
    <mergeCell ref="P44:S44"/>
    <mergeCell ref="T44:X44"/>
    <mergeCell ref="Y44:AC44"/>
    <mergeCell ref="AD44:AG44"/>
    <mergeCell ref="AM44:AQ44"/>
    <mergeCell ref="AR44:AU44"/>
    <mergeCell ref="AR39:AU39"/>
    <mergeCell ref="B41:AG42"/>
    <mergeCell ref="AH41:AU42"/>
    <mergeCell ref="B43:E44"/>
    <mergeCell ref="F43:S43"/>
    <mergeCell ref="T43:AG43"/>
    <mergeCell ref="AH43:AL44"/>
    <mergeCell ref="AM43:AU43"/>
    <mergeCell ref="F44:J44"/>
    <mergeCell ref="K44:O44"/>
    <mergeCell ref="B39:E39"/>
    <mergeCell ref="F39:J39"/>
    <mergeCell ref="K39:O39"/>
    <mergeCell ref="P39:S39"/>
    <mergeCell ref="T39:X39"/>
    <mergeCell ref="Y39:AC39"/>
    <mergeCell ref="AD39:AG39"/>
    <mergeCell ref="AH39:AL39"/>
    <mergeCell ref="AD45:AG45"/>
    <mergeCell ref="AH45:AL45"/>
    <mergeCell ref="AM45:AQ45"/>
    <mergeCell ref="AR45:AU45"/>
    <mergeCell ref="B46:E46"/>
    <mergeCell ref="F46:J46"/>
    <mergeCell ref="K46:O46"/>
    <mergeCell ref="P46:S46"/>
    <mergeCell ref="T46:X46"/>
    <mergeCell ref="Y46:AC46"/>
    <mergeCell ref="B45:E45"/>
    <mergeCell ref="F45:J45"/>
    <mergeCell ref="K45:O45"/>
    <mergeCell ref="P45:S45"/>
    <mergeCell ref="T45:X45"/>
    <mergeCell ref="Y45:AC45"/>
    <mergeCell ref="AD46:AG46"/>
    <mergeCell ref="AH46:AL46"/>
    <mergeCell ref="AM46:AQ46"/>
    <mergeCell ref="AR46:AU46"/>
    <mergeCell ref="AR47:AU47"/>
    <mergeCell ref="B48:E48"/>
    <mergeCell ref="F48:J48"/>
    <mergeCell ref="K48:O48"/>
    <mergeCell ref="P48:S48"/>
    <mergeCell ref="T48:X48"/>
    <mergeCell ref="Y48:AC48"/>
    <mergeCell ref="AD48:AG48"/>
    <mergeCell ref="AH48:AL48"/>
    <mergeCell ref="AM48:AQ48"/>
    <mergeCell ref="AR48:AU48"/>
    <mergeCell ref="B47:E47"/>
    <mergeCell ref="F47:J47"/>
    <mergeCell ref="K47:O47"/>
    <mergeCell ref="P47:S47"/>
    <mergeCell ref="T47:X47"/>
    <mergeCell ref="Y47:AC47"/>
    <mergeCell ref="AD47:AG47"/>
    <mergeCell ref="AH47:AL47"/>
    <mergeCell ref="AM47:AQ47"/>
    <mergeCell ref="AR49:AU49"/>
    <mergeCell ref="B50:E50"/>
    <mergeCell ref="F50:J50"/>
    <mergeCell ref="K50:O50"/>
    <mergeCell ref="P50:S50"/>
    <mergeCell ref="T50:X50"/>
    <mergeCell ref="Y50:AC50"/>
    <mergeCell ref="AD50:AG50"/>
    <mergeCell ref="AH50:AL50"/>
    <mergeCell ref="AM50:AQ50"/>
    <mergeCell ref="AR50:AU50"/>
    <mergeCell ref="B49:E49"/>
    <mergeCell ref="F49:J49"/>
    <mergeCell ref="K49:O49"/>
    <mergeCell ref="P49:S49"/>
    <mergeCell ref="T49:X49"/>
    <mergeCell ref="Y49:AC49"/>
    <mergeCell ref="AD49:AG49"/>
    <mergeCell ref="AH49:AL49"/>
    <mergeCell ref="AM49:AQ49"/>
    <mergeCell ref="AR51:AU51"/>
    <mergeCell ref="B52:E52"/>
    <mergeCell ref="F52:J52"/>
    <mergeCell ref="K52:O52"/>
    <mergeCell ref="P52:S52"/>
    <mergeCell ref="T52:X52"/>
    <mergeCell ref="Y52:AC52"/>
    <mergeCell ref="AD52:AG52"/>
    <mergeCell ref="AH52:AL52"/>
    <mergeCell ref="AM52:AQ52"/>
    <mergeCell ref="AR52:AU52"/>
    <mergeCell ref="B51:E51"/>
    <mergeCell ref="F51:J51"/>
    <mergeCell ref="K51:O51"/>
    <mergeCell ref="P51:S51"/>
    <mergeCell ref="T51:X51"/>
    <mergeCell ref="Y51:AC51"/>
    <mergeCell ref="AD51:AG51"/>
    <mergeCell ref="AH51:AL51"/>
    <mergeCell ref="AM51:AQ51"/>
    <mergeCell ref="B53:E53"/>
    <mergeCell ref="F53:J53"/>
    <mergeCell ref="K53:O53"/>
    <mergeCell ref="P53:S53"/>
    <mergeCell ref="T53:X53"/>
    <mergeCell ref="Y53:AC53"/>
    <mergeCell ref="B82:AA83"/>
    <mergeCell ref="AB82:AK82"/>
    <mergeCell ref="AL82:AU82"/>
    <mergeCell ref="AB83:AF83"/>
    <mergeCell ref="AG83:AK83"/>
    <mergeCell ref="AL83:AP83"/>
    <mergeCell ref="AQ83:AU83"/>
    <mergeCell ref="AD53:AG53"/>
    <mergeCell ref="AH53:AL53"/>
    <mergeCell ref="AM53:AQ53"/>
    <mergeCell ref="AR53:AU53"/>
    <mergeCell ref="B58:AV59"/>
    <mergeCell ref="B79:AV80"/>
    <mergeCell ref="B85:G85"/>
    <mergeCell ref="H85:AA85"/>
    <mergeCell ref="AB85:AF85"/>
    <mergeCell ref="AG85:AK85"/>
    <mergeCell ref="AL85:AP85"/>
    <mergeCell ref="AQ85:AU85"/>
    <mergeCell ref="B84:G84"/>
    <mergeCell ref="H84:AA84"/>
    <mergeCell ref="AB84:AF84"/>
    <mergeCell ref="AG84:AK84"/>
    <mergeCell ref="AL84:AP84"/>
    <mergeCell ref="AQ84:AU84"/>
    <mergeCell ref="B87:G87"/>
    <mergeCell ref="H87:AA87"/>
    <mergeCell ref="AB87:AF87"/>
    <mergeCell ref="AG87:AK87"/>
    <mergeCell ref="AL87:AP87"/>
    <mergeCell ref="AQ87:AU87"/>
    <mergeCell ref="B86:G86"/>
    <mergeCell ref="H86:AA86"/>
    <mergeCell ref="AB86:AF86"/>
    <mergeCell ref="AG86:AK86"/>
    <mergeCell ref="AL86:AP86"/>
    <mergeCell ref="AQ86:AU86"/>
    <mergeCell ref="B93:AU93"/>
    <mergeCell ref="B94:AU94"/>
    <mergeCell ref="L96:AU96"/>
    <mergeCell ref="B97:AU97"/>
    <mergeCell ref="B98:AU98"/>
    <mergeCell ref="B100:N100"/>
    <mergeCell ref="O100:AU100"/>
    <mergeCell ref="B88:AA88"/>
    <mergeCell ref="AB88:AF88"/>
    <mergeCell ref="AG88:AK88"/>
    <mergeCell ref="AL88:AP88"/>
    <mergeCell ref="AQ88:AU88"/>
    <mergeCell ref="P92:AU92"/>
    <mergeCell ref="B109:AU109"/>
    <mergeCell ref="B112:O112"/>
    <mergeCell ref="R112:AE112"/>
    <mergeCell ref="AH112:AU112"/>
    <mergeCell ref="B113:O113"/>
    <mergeCell ref="R113:AE113"/>
    <mergeCell ref="AH113:AU113"/>
    <mergeCell ref="B101:AU101"/>
    <mergeCell ref="B102:AU102"/>
    <mergeCell ref="B105:AU105"/>
    <mergeCell ref="B106:AU106"/>
    <mergeCell ref="B107:AU107"/>
    <mergeCell ref="B108:AU108"/>
  </mergeCells>
  <conditionalFormatting sqref="AD16">
    <cfRule type="containsText" dxfId="69" priority="3" operator="containsText" text="INACTIVO">
      <formula>NOT(ISERROR(SEARCH("INACTIVO",AD16)))</formula>
    </cfRule>
    <cfRule type="containsText" dxfId="68" priority="4" operator="containsText" text="ACTIVO">
      <formula>NOT(ISERROR(SEARCH("ACTIVO",AD16)))</formula>
    </cfRule>
  </conditionalFormatting>
  <conditionalFormatting sqref="AE16:AI16">
    <cfRule type="containsText" dxfId="67" priority="1" operator="containsText" text="SEGUIMIENTO">
      <formula>NOT(ISERROR(SEARCH("SEGUIMIENTO",AE16)))</formula>
    </cfRule>
    <cfRule type="containsText" dxfId="66" priority="2" operator="containsText" text="INF_INICIAL">
      <formula>NOT(ISERROR(SEARCH("INF_INICIAL",AE16)))</formula>
    </cfRule>
  </conditionalFormatting>
  <dataValidations count="7">
    <dataValidation type="list" allowBlank="1" showInputMessage="1" showErrorMessage="1" sqref="AE16:AI16" xr:uid="{00000000-0002-0000-0000-000000000000}">
      <formula1>"INF_INICIAL, SEGUIMIENTO, ALTA"</formula1>
    </dataValidation>
    <dataValidation type="list" allowBlank="1" showInputMessage="1" showErrorMessage="1" sqref="AK16" xr:uid="{00000000-0002-0000-0000-000001000000}">
      <formula1>seguimient</formula1>
    </dataValidation>
    <dataValidation type="list" allowBlank="1" showInputMessage="1" showErrorMessage="1" sqref="AR16:AU16 P20:S20" xr:uid="{00000000-0002-0000-0000-000002000000}">
      <formula1>AÑO</formula1>
    </dataValidation>
    <dataValidation type="list" allowBlank="1" showInputMessage="1" showErrorMessage="1" sqref="AP16 N20" xr:uid="{00000000-0002-0000-0000-000003000000}">
      <formula1>MES</formula1>
    </dataValidation>
    <dataValidation type="list" allowBlank="1" showInputMessage="1" showErrorMessage="1" sqref="AN16:AO16 L20:M20" xr:uid="{00000000-0002-0000-0000-000004000000}">
      <formula1>DIA</formula1>
    </dataValidation>
    <dataValidation type="list" allowBlank="1" showInputMessage="1" showErrorMessage="1" errorTitle="Error en los datos" prompt="Elige una opción" sqref="F13" xr:uid="{00000000-0002-0000-0000-000005000000}">
      <formula1>"SSA,IMSS,ISSSTE,OTRAS,IMSS PROSPERA,DIF,PEMEX,SEDENA"</formula1>
    </dataValidation>
    <dataValidation type="list" allowBlank="1" showInputMessage="1" showErrorMessage="1" sqref="B84:G87" xr:uid="{00000000-0002-0000-0000-000006000000}">
      <formula1>LUGAR</formula1>
    </dataValidation>
  </dataValidations>
  <printOptions horizontalCentered="1"/>
  <pageMargins left="0.31496062992125984" right="0.31496062992125984" top="0.74803149606299213" bottom="0.74803149606299213" header="0.31496062992125984" footer="0.31496062992125984"/>
  <pageSetup scale="92" orientation="portrait" r:id="rId1"/>
  <rowBreaks count="1" manualBreakCount="1">
    <brk id="56" max="47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NuevoSeguimiento">
                <anchor moveWithCells="1" sizeWithCells="1">
                  <from>
                    <xdr:col>51</xdr:col>
                    <xdr:colOff>133350</xdr:colOff>
                    <xdr:row>2</xdr:row>
                    <xdr:rowOff>200025</xdr:rowOff>
                  </from>
                  <to>
                    <xdr:col>61</xdr:col>
                    <xdr:colOff>47625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Hoja14.ACTUALIZAR">
                <anchor moveWithCells="1" sizeWithCells="1">
                  <from>
                    <xdr:col>52</xdr:col>
                    <xdr:colOff>0</xdr:colOff>
                    <xdr:row>8</xdr:row>
                    <xdr:rowOff>123825</xdr:rowOff>
                  </from>
                  <to>
                    <xdr:col>61</xdr:col>
                    <xdr:colOff>66675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00B050"/>
  </sheetPr>
  <dimension ref="A1:AU3190"/>
  <sheetViews>
    <sheetView showGridLines="0" view="pageBreakPreview" zoomScale="85" zoomScaleNormal="100" zoomScaleSheetLayoutView="85" workbookViewId="0">
      <selection activeCell="O5" sqref="O5"/>
    </sheetView>
  </sheetViews>
  <sheetFormatPr baseColWidth="10" defaultRowHeight="12.75" x14ac:dyDescent="0.2"/>
  <cols>
    <col min="1" max="1" width="7.28515625" style="21" customWidth="1"/>
    <col min="2" max="2" width="14.85546875" style="92" customWidth="1"/>
    <col min="3" max="3" width="8.28515625" style="92" customWidth="1"/>
    <col min="4" max="4" width="6.7109375" style="92" customWidth="1"/>
    <col min="5" max="5" width="7.7109375" style="21" customWidth="1"/>
    <col min="6" max="6" width="4.85546875" style="21" customWidth="1"/>
    <col min="7" max="7" width="12.5703125" style="21" customWidth="1"/>
    <col min="8" max="8" width="2.5703125" style="21" customWidth="1"/>
    <col min="9" max="9" width="12.28515625" style="21" customWidth="1"/>
    <col min="10" max="10" width="10.85546875" style="21" customWidth="1"/>
    <col min="11" max="11" width="7" style="67" customWidth="1"/>
    <col min="12" max="13" width="6" style="67" customWidth="1"/>
    <col min="14" max="14" width="19.85546875" style="21" customWidth="1"/>
    <col min="15" max="20" width="6" style="21" customWidth="1"/>
    <col min="21" max="21" width="8.85546875" style="21" customWidth="1"/>
    <col min="22" max="24" width="6" style="21" customWidth="1"/>
    <col min="25" max="25" width="10" style="21" customWidth="1"/>
    <col min="26" max="26" width="8.140625" style="21" customWidth="1"/>
    <col min="27" max="31" width="11" style="21" customWidth="1"/>
    <col min="32" max="32" width="15.28515625" style="21" customWidth="1"/>
    <col min="33" max="33" width="17.140625" style="21" customWidth="1"/>
    <col min="34" max="36" width="6" style="21" customWidth="1"/>
    <col min="37" max="37" width="23.5703125" style="21" customWidth="1"/>
    <col min="38" max="38" width="11.42578125" style="26" hidden="1" customWidth="1"/>
    <col min="39" max="260" width="11.5703125" style="21"/>
    <col min="261" max="261" width="7.28515625" style="21" customWidth="1"/>
    <col min="262" max="262" width="14.85546875" style="21" customWidth="1"/>
    <col min="263" max="263" width="13.5703125" style="21" customWidth="1"/>
    <col min="264" max="264" width="3.140625" style="21" customWidth="1"/>
    <col min="265" max="266" width="4.85546875" style="21" customWidth="1"/>
    <col min="267" max="267" width="12.5703125" style="21" customWidth="1"/>
    <col min="268" max="268" width="1.140625" style="21" customWidth="1"/>
    <col min="269" max="269" width="17.28515625" style="21" customWidth="1"/>
    <col min="270" max="270" width="11.85546875" style="21" customWidth="1"/>
    <col min="271" max="271" width="19.85546875" style="21" customWidth="1"/>
    <col min="272" max="272" width="12.5703125" style="21" customWidth="1"/>
    <col min="273" max="273" width="11.5703125" style="21"/>
    <col min="274" max="274" width="8.85546875" style="21" customWidth="1"/>
    <col min="275" max="275" width="10.28515625" style="21" customWidth="1"/>
    <col min="276" max="276" width="10" style="21" customWidth="1"/>
    <col min="277" max="277" width="8.140625" style="21" customWidth="1"/>
    <col min="278" max="285" width="10.7109375" style="21" customWidth="1"/>
    <col min="286" max="286" width="8.42578125" style="21" customWidth="1"/>
    <col min="287" max="287" width="10" style="21" customWidth="1"/>
    <col min="288" max="288" width="7.28515625" style="21" customWidth="1"/>
    <col min="289" max="289" width="9.42578125" style="21" customWidth="1"/>
    <col min="290" max="290" width="8.7109375" style="21" customWidth="1"/>
    <col min="291" max="291" width="17.140625" style="21" customWidth="1"/>
    <col min="292" max="292" width="26.28515625" style="21" customWidth="1"/>
    <col min="293" max="516" width="11.5703125" style="21"/>
    <col min="517" max="517" width="7.28515625" style="21" customWidth="1"/>
    <col min="518" max="518" width="14.85546875" style="21" customWidth="1"/>
    <col min="519" max="519" width="13.5703125" style="21" customWidth="1"/>
    <col min="520" max="520" width="3.140625" style="21" customWidth="1"/>
    <col min="521" max="522" width="4.85546875" style="21" customWidth="1"/>
    <col min="523" max="523" width="12.5703125" style="21" customWidth="1"/>
    <col min="524" max="524" width="1.140625" style="21" customWidth="1"/>
    <col min="525" max="525" width="17.28515625" style="21" customWidth="1"/>
    <col min="526" max="526" width="11.85546875" style="21" customWidth="1"/>
    <col min="527" max="527" width="19.85546875" style="21" customWidth="1"/>
    <col min="528" max="528" width="12.5703125" style="21" customWidth="1"/>
    <col min="529" max="529" width="11.5703125" style="21"/>
    <col min="530" max="530" width="8.85546875" style="21" customWidth="1"/>
    <col min="531" max="531" width="10.28515625" style="21" customWidth="1"/>
    <col min="532" max="532" width="10" style="21" customWidth="1"/>
    <col min="533" max="533" width="8.140625" style="21" customWidth="1"/>
    <col min="534" max="541" width="10.7109375" style="21" customWidth="1"/>
    <col min="542" max="542" width="8.42578125" style="21" customWidth="1"/>
    <col min="543" max="543" width="10" style="21" customWidth="1"/>
    <col min="544" max="544" width="7.28515625" style="21" customWidth="1"/>
    <col min="545" max="545" width="9.42578125" style="21" customWidth="1"/>
    <col min="546" max="546" width="8.7109375" style="21" customWidth="1"/>
    <col min="547" max="547" width="17.140625" style="21" customWidth="1"/>
    <col min="548" max="548" width="26.28515625" style="21" customWidth="1"/>
    <col min="549" max="772" width="11.5703125" style="21"/>
    <col min="773" max="773" width="7.28515625" style="21" customWidth="1"/>
    <col min="774" max="774" width="14.85546875" style="21" customWidth="1"/>
    <col min="775" max="775" width="13.5703125" style="21" customWidth="1"/>
    <col min="776" max="776" width="3.140625" style="21" customWidth="1"/>
    <col min="777" max="778" width="4.85546875" style="21" customWidth="1"/>
    <col min="779" max="779" width="12.5703125" style="21" customWidth="1"/>
    <col min="780" max="780" width="1.140625" style="21" customWidth="1"/>
    <col min="781" max="781" width="17.28515625" style="21" customWidth="1"/>
    <col min="782" max="782" width="11.85546875" style="21" customWidth="1"/>
    <col min="783" max="783" width="19.85546875" style="21" customWidth="1"/>
    <col min="784" max="784" width="12.5703125" style="21" customWidth="1"/>
    <col min="785" max="785" width="11.5703125" style="21"/>
    <col min="786" max="786" width="8.85546875" style="21" customWidth="1"/>
    <col min="787" max="787" width="10.28515625" style="21" customWidth="1"/>
    <col min="788" max="788" width="10" style="21" customWidth="1"/>
    <col min="789" max="789" width="8.140625" style="21" customWidth="1"/>
    <col min="790" max="797" width="10.7109375" style="21" customWidth="1"/>
    <col min="798" max="798" width="8.42578125" style="21" customWidth="1"/>
    <col min="799" max="799" width="10" style="21" customWidth="1"/>
    <col min="800" max="800" width="7.28515625" style="21" customWidth="1"/>
    <col min="801" max="801" width="9.42578125" style="21" customWidth="1"/>
    <col min="802" max="802" width="8.7109375" style="21" customWidth="1"/>
    <col min="803" max="803" width="17.140625" style="21" customWidth="1"/>
    <col min="804" max="804" width="26.28515625" style="21" customWidth="1"/>
    <col min="805" max="1028" width="11.5703125" style="21"/>
    <col min="1029" max="1029" width="7.28515625" style="21" customWidth="1"/>
    <col min="1030" max="1030" width="14.85546875" style="21" customWidth="1"/>
    <col min="1031" max="1031" width="13.5703125" style="21" customWidth="1"/>
    <col min="1032" max="1032" width="3.140625" style="21" customWidth="1"/>
    <col min="1033" max="1034" width="4.85546875" style="21" customWidth="1"/>
    <col min="1035" max="1035" width="12.5703125" style="21" customWidth="1"/>
    <col min="1036" max="1036" width="1.140625" style="21" customWidth="1"/>
    <col min="1037" max="1037" width="17.28515625" style="21" customWidth="1"/>
    <col min="1038" max="1038" width="11.85546875" style="21" customWidth="1"/>
    <col min="1039" max="1039" width="19.85546875" style="21" customWidth="1"/>
    <col min="1040" max="1040" width="12.5703125" style="21" customWidth="1"/>
    <col min="1041" max="1041" width="11.5703125" style="21"/>
    <col min="1042" max="1042" width="8.85546875" style="21" customWidth="1"/>
    <col min="1043" max="1043" width="10.28515625" style="21" customWidth="1"/>
    <col min="1044" max="1044" width="10" style="21" customWidth="1"/>
    <col min="1045" max="1045" width="8.140625" style="21" customWidth="1"/>
    <col min="1046" max="1053" width="10.7109375" style="21" customWidth="1"/>
    <col min="1054" max="1054" width="8.42578125" style="21" customWidth="1"/>
    <col min="1055" max="1055" width="10" style="21" customWidth="1"/>
    <col min="1056" max="1056" width="7.28515625" style="21" customWidth="1"/>
    <col min="1057" max="1057" width="9.42578125" style="21" customWidth="1"/>
    <col min="1058" max="1058" width="8.7109375" style="21" customWidth="1"/>
    <col min="1059" max="1059" width="17.140625" style="21" customWidth="1"/>
    <col min="1060" max="1060" width="26.28515625" style="21" customWidth="1"/>
    <col min="1061" max="1284" width="11.5703125" style="21"/>
    <col min="1285" max="1285" width="7.28515625" style="21" customWidth="1"/>
    <col min="1286" max="1286" width="14.85546875" style="21" customWidth="1"/>
    <col min="1287" max="1287" width="13.5703125" style="21" customWidth="1"/>
    <col min="1288" max="1288" width="3.140625" style="21" customWidth="1"/>
    <col min="1289" max="1290" width="4.85546875" style="21" customWidth="1"/>
    <col min="1291" max="1291" width="12.5703125" style="21" customWidth="1"/>
    <col min="1292" max="1292" width="1.140625" style="21" customWidth="1"/>
    <col min="1293" max="1293" width="17.28515625" style="21" customWidth="1"/>
    <col min="1294" max="1294" width="11.85546875" style="21" customWidth="1"/>
    <col min="1295" max="1295" width="19.85546875" style="21" customWidth="1"/>
    <col min="1296" max="1296" width="12.5703125" style="21" customWidth="1"/>
    <col min="1297" max="1297" width="11.5703125" style="21"/>
    <col min="1298" max="1298" width="8.85546875" style="21" customWidth="1"/>
    <col min="1299" max="1299" width="10.28515625" style="21" customWidth="1"/>
    <col min="1300" max="1300" width="10" style="21" customWidth="1"/>
    <col min="1301" max="1301" width="8.140625" style="21" customWidth="1"/>
    <col min="1302" max="1309" width="10.7109375" style="21" customWidth="1"/>
    <col min="1310" max="1310" width="8.42578125" style="21" customWidth="1"/>
    <col min="1311" max="1311" width="10" style="21" customWidth="1"/>
    <col min="1312" max="1312" width="7.28515625" style="21" customWidth="1"/>
    <col min="1313" max="1313" width="9.42578125" style="21" customWidth="1"/>
    <col min="1314" max="1314" width="8.7109375" style="21" customWidth="1"/>
    <col min="1315" max="1315" width="17.140625" style="21" customWidth="1"/>
    <col min="1316" max="1316" width="26.28515625" style="21" customWidth="1"/>
    <col min="1317" max="1540" width="11.5703125" style="21"/>
    <col min="1541" max="1541" width="7.28515625" style="21" customWidth="1"/>
    <col min="1542" max="1542" width="14.85546875" style="21" customWidth="1"/>
    <col min="1543" max="1543" width="13.5703125" style="21" customWidth="1"/>
    <col min="1544" max="1544" width="3.140625" style="21" customWidth="1"/>
    <col min="1545" max="1546" width="4.85546875" style="21" customWidth="1"/>
    <col min="1547" max="1547" width="12.5703125" style="21" customWidth="1"/>
    <col min="1548" max="1548" width="1.140625" style="21" customWidth="1"/>
    <col min="1549" max="1549" width="17.28515625" style="21" customWidth="1"/>
    <col min="1550" max="1550" width="11.85546875" style="21" customWidth="1"/>
    <col min="1551" max="1551" width="19.85546875" style="21" customWidth="1"/>
    <col min="1552" max="1552" width="12.5703125" style="21" customWidth="1"/>
    <col min="1553" max="1553" width="11.5703125" style="21"/>
    <col min="1554" max="1554" width="8.85546875" style="21" customWidth="1"/>
    <col min="1555" max="1555" width="10.28515625" style="21" customWidth="1"/>
    <col min="1556" max="1556" width="10" style="21" customWidth="1"/>
    <col min="1557" max="1557" width="8.140625" style="21" customWidth="1"/>
    <col min="1558" max="1565" width="10.7109375" style="21" customWidth="1"/>
    <col min="1566" max="1566" width="8.42578125" style="21" customWidth="1"/>
    <col min="1567" max="1567" width="10" style="21" customWidth="1"/>
    <col min="1568" max="1568" width="7.28515625" style="21" customWidth="1"/>
    <col min="1569" max="1569" width="9.42578125" style="21" customWidth="1"/>
    <col min="1570" max="1570" width="8.7109375" style="21" customWidth="1"/>
    <col min="1571" max="1571" width="17.140625" style="21" customWidth="1"/>
    <col min="1572" max="1572" width="26.28515625" style="21" customWidth="1"/>
    <col min="1573" max="1796" width="11.5703125" style="21"/>
    <col min="1797" max="1797" width="7.28515625" style="21" customWidth="1"/>
    <col min="1798" max="1798" width="14.85546875" style="21" customWidth="1"/>
    <col min="1799" max="1799" width="13.5703125" style="21" customWidth="1"/>
    <col min="1800" max="1800" width="3.140625" style="21" customWidth="1"/>
    <col min="1801" max="1802" width="4.85546875" style="21" customWidth="1"/>
    <col min="1803" max="1803" width="12.5703125" style="21" customWidth="1"/>
    <col min="1804" max="1804" width="1.140625" style="21" customWidth="1"/>
    <col min="1805" max="1805" width="17.28515625" style="21" customWidth="1"/>
    <col min="1806" max="1806" width="11.85546875" style="21" customWidth="1"/>
    <col min="1807" max="1807" width="19.85546875" style="21" customWidth="1"/>
    <col min="1808" max="1808" width="12.5703125" style="21" customWidth="1"/>
    <col min="1809" max="1809" width="11.5703125" style="21"/>
    <col min="1810" max="1810" width="8.85546875" style="21" customWidth="1"/>
    <col min="1811" max="1811" width="10.28515625" style="21" customWidth="1"/>
    <col min="1812" max="1812" width="10" style="21" customWidth="1"/>
    <col min="1813" max="1813" width="8.140625" style="21" customWidth="1"/>
    <col min="1814" max="1821" width="10.7109375" style="21" customWidth="1"/>
    <col min="1822" max="1822" width="8.42578125" style="21" customWidth="1"/>
    <col min="1823" max="1823" width="10" style="21" customWidth="1"/>
    <col min="1824" max="1824" width="7.28515625" style="21" customWidth="1"/>
    <col min="1825" max="1825" width="9.42578125" style="21" customWidth="1"/>
    <col min="1826" max="1826" width="8.7109375" style="21" customWidth="1"/>
    <col min="1827" max="1827" width="17.140625" style="21" customWidth="1"/>
    <col min="1828" max="1828" width="26.28515625" style="21" customWidth="1"/>
    <col min="1829" max="2052" width="11.5703125" style="21"/>
    <col min="2053" max="2053" width="7.28515625" style="21" customWidth="1"/>
    <col min="2054" max="2054" width="14.85546875" style="21" customWidth="1"/>
    <col min="2055" max="2055" width="13.5703125" style="21" customWidth="1"/>
    <col min="2056" max="2056" width="3.140625" style="21" customWidth="1"/>
    <col min="2057" max="2058" width="4.85546875" style="21" customWidth="1"/>
    <col min="2059" max="2059" width="12.5703125" style="21" customWidth="1"/>
    <col min="2060" max="2060" width="1.140625" style="21" customWidth="1"/>
    <col min="2061" max="2061" width="17.28515625" style="21" customWidth="1"/>
    <col min="2062" max="2062" width="11.85546875" style="21" customWidth="1"/>
    <col min="2063" max="2063" width="19.85546875" style="21" customWidth="1"/>
    <col min="2064" max="2064" width="12.5703125" style="21" customWidth="1"/>
    <col min="2065" max="2065" width="11.5703125" style="21"/>
    <col min="2066" max="2066" width="8.85546875" style="21" customWidth="1"/>
    <col min="2067" max="2067" width="10.28515625" style="21" customWidth="1"/>
    <col min="2068" max="2068" width="10" style="21" customWidth="1"/>
    <col min="2069" max="2069" width="8.140625" style="21" customWidth="1"/>
    <col min="2070" max="2077" width="10.7109375" style="21" customWidth="1"/>
    <col min="2078" max="2078" width="8.42578125" style="21" customWidth="1"/>
    <col min="2079" max="2079" width="10" style="21" customWidth="1"/>
    <col min="2080" max="2080" width="7.28515625" style="21" customWidth="1"/>
    <col min="2081" max="2081" width="9.42578125" style="21" customWidth="1"/>
    <col min="2082" max="2082" width="8.7109375" style="21" customWidth="1"/>
    <col min="2083" max="2083" width="17.140625" style="21" customWidth="1"/>
    <col min="2084" max="2084" width="26.28515625" style="21" customWidth="1"/>
    <col min="2085" max="2308" width="11.5703125" style="21"/>
    <col min="2309" max="2309" width="7.28515625" style="21" customWidth="1"/>
    <col min="2310" max="2310" width="14.85546875" style="21" customWidth="1"/>
    <col min="2311" max="2311" width="13.5703125" style="21" customWidth="1"/>
    <col min="2312" max="2312" width="3.140625" style="21" customWidth="1"/>
    <col min="2313" max="2314" width="4.85546875" style="21" customWidth="1"/>
    <col min="2315" max="2315" width="12.5703125" style="21" customWidth="1"/>
    <col min="2316" max="2316" width="1.140625" style="21" customWidth="1"/>
    <col min="2317" max="2317" width="17.28515625" style="21" customWidth="1"/>
    <col min="2318" max="2318" width="11.85546875" style="21" customWidth="1"/>
    <col min="2319" max="2319" width="19.85546875" style="21" customWidth="1"/>
    <col min="2320" max="2320" width="12.5703125" style="21" customWidth="1"/>
    <col min="2321" max="2321" width="11.5703125" style="21"/>
    <col min="2322" max="2322" width="8.85546875" style="21" customWidth="1"/>
    <col min="2323" max="2323" width="10.28515625" style="21" customWidth="1"/>
    <col min="2324" max="2324" width="10" style="21" customWidth="1"/>
    <col min="2325" max="2325" width="8.140625" style="21" customWidth="1"/>
    <col min="2326" max="2333" width="10.7109375" style="21" customWidth="1"/>
    <col min="2334" max="2334" width="8.42578125" style="21" customWidth="1"/>
    <col min="2335" max="2335" width="10" style="21" customWidth="1"/>
    <col min="2336" max="2336" width="7.28515625" style="21" customWidth="1"/>
    <col min="2337" max="2337" width="9.42578125" style="21" customWidth="1"/>
    <col min="2338" max="2338" width="8.7109375" style="21" customWidth="1"/>
    <col min="2339" max="2339" width="17.140625" style="21" customWidth="1"/>
    <col min="2340" max="2340" width="26.28515625" style="21" customWidth="1"/>
    <col min="2341" max="2564" width="11.5703125" style="21"/>
    <col min="2565" max="2565" width="7.28515625" style="21" customWidth="1"/>
    <col min="2566" max="2566" width="14.85546875" style="21" customWidth="1"/>
    <col min="2567" max="2567" width="13.5703125" style="21" customWidth="1"/>
    <col min="2568" max="2568" width="3.140625" style="21" customWidth="1"/>
    <col min="2569" max="2570" width="4.85546875" style="21" customWidth="1"/>
    <col min="2571" max="2571" width="12.5703125" style="21" customWidth="1"/>
    <col min="2572" max="2572" width="1.140625" style="21" customWidth="1"/>
    <col min="2573" max="2573" width="17.28515625" style="21" customWidth="1"/>
    <col min="2574" max="2574" width="11.85546875" style="21" customWidth="1"/>
    <col min="2575" max="2575" width="19.85546875" style="21" customWidth="1"/>
    <col min="2576" max="2576" width="12.5703125" style="21" customWidth="1"/>
    <col min="2577" max="2577" width="11.5703125" style="21"/>
    <col min="2578" max="2578" width="8.85546875" style="21" customWidth="1"/>
    <col min="2579" max="2579" width="10.28515625" style="21" customWidth="1"/>
    <col min="2580" max="2580" width="10" style="21" customWidth="1"/>
    <col min="2581" max="2581" width="8.140625" style="21" customWidth="1"/>
    <col min="2582" max="2589" width="10.7109375" style="21" customWidth="1"/>
    <col min="2590" max="2590" width="8.42578125" style="21" customWidth="1"/>
    <col min="2591" max="2591" width="10" style="21" customWidth="1"/>
    <col min="2592" max="2592" width="7.28515625" style="21" customWidth="1"/>
    <col min="2593" max="2593" width="9.42578125" style="21" customWidth="1"/>
    <col min="2594" max="2594" width="8.7109375" style="21" customWidth="1"/>
    <col min="2595" max="2595" width="17.140625" style="21" customWidth="1"/>
    <col min="2596" max="2596" width="26.28515625" style="21" customWidth="1"/>
    <col min="2597" max="2820" width="11.5703125" style="21"/>
    <col min="2821" max="2821" width="7.28515625" style="21" customWidth="1"/>
    <col min="2822" max="2822" width="14.85546875" style="21" customWidth="1"/>
    <col min="2823" max="2823" width="13.5703125" style="21" customWidth="1"/>
    <col min="2824" max="2824" width="3.140625" style="21" customWidth="1"/>
    <col min="2825" max="2826" width="4.85546875" style="21" customWidth="1"/>
    <col min="2827" max="2827" width="12.5703125" style="21" customWidth="1"/>
    <col min="2828" max="2828" width="1.140625" style="21" customWidth="1"/>
    <col min="2829" max="2829" width="17.28515625" style="21" customWidth="1"/>
    <col min="2830" max="2830" width="11.85546875" style="21" customWidth="1"/>
    <col min="2831" max="2831" width="19.85546875" style="21" customWidth="1"/>
    <col min="2832" max="2832" width="12.5703125" style="21" customWidth="1"/>
    <col min="2833" max="2833" width="11.5703125" style="21"/>
    <col min="2834" max="2834" width="8.85546875" style="21" customWidth="1"/>
    <col min="2835" max="2835" width="10.28515625" style="21" customWidth="1"/>
    <col min="2836" max="2836" width="10" style="21" customWidth="1"/>
    <col min="2837" max="2837" width="8.140625" style="21" customWidth="1"/>
    <col min="2838" max="2845" width="10.7109375" style="21" customWidth="1"/>
    <col min="2846" max="2846" width="8.42578125" style="21" customWidth="1"/>
    <col min="2847" max="2847" width="10" style="21" customWidth="1"/>
    <col min="2848" max="2848" width="7.28515625" style="21" customWidth="1"/>
    <col min="2849" max="2849" width="9.42578125" style="21" customWidth="1"/>
    <col min="2850" max="2850" width="8.7109375" style="21" customWidth="1"/>
    <col min="2851" max="2851" width="17.140625" style="21" customWidth="1"/>
    <col min="2852" max="2852" width="26.28515625" style="21" customWidth="1"/>
    <col min="2853" max="3076" width="11.5703125" style="21"/>
    <col min="3077" max="3077" width="7.28515625" style="21" customWidth="1"/>
    <col min="3078" max="3078" width="14.85546875" style="21" customWidth="1"/>
    <col min="3079" max="3079" width="13.5703125" style="21" customWidth="1"/>
    <col min="3080" max="3080" width="3.140625" style="21" customWidth="1"/>
    <col min="3081" max="3082" width="4.85546875" style="21" customWidth="1"/>
    <col min="3083" max="3083" width="12.5703125" style="21" customWidth="1"/>
    <col min="3084" max="3084" width="1.140625" style="21" customWidth="1"/>
    <col min="3085" max="3085" width="17.28515625" style="21" customWidth="1"/>
    <col min="3086" max="3086" width="11.85546875" style="21" customWidth="1"/>
    <col min="3087" max="3087" width="19.85546875" style="21" customWidth="1"/>
    <col min="3088" max="3088" width="12.5703125" style="21" customWidth="1"/>
    <col min="3089" max="3089" width="11.5703125" style="21"/>
    <col min="3090" max="3090" width="8.85546875" style="21" customWidth="1"/>
    <col min="3091" max="3091" width="10.28515625" style="21" customWidth="1"/>
    <col min="3092" max="3092" width="10" style="21" customWidth="1"/>
    <col min="3093" max="3093" width="8.140625" style="21" customWidth="1"/>
    <col min="3094" max="3101" width="10.7109375" style="21" customWidth="1"/>
    <col min="3102" max="3102" width="8.42578125" style="21" customWidth="1"/>
    <col min="3103" max="3103" width="10" style="21" customWidth="1"/>
    <col min="3104" max="3104" width="7.28515625" style="21" customWidth="1"/>
    <col min="3105" max="3105" width="9.42578125" style="21" customWidth="1"/>
    <col min="3106" max="3106" width="8.7109375" style="21" customWidth="1"/>
    <col min="3107" max="3107" width="17.140625" style="21" customWidth="1"/>
    <col min="3108" max="3108" width="26.28515625" style="21" customWidth="1"/>
    <col min="3109" max="3332" width="11.5703125" style="21"/>
    <col min="3333" max="3333" width="7.28515625" style="21" customWidth="1"/>
    <col min="3334" max="3334" width="14.85546875" style="21" customWidth="1"/>
    <col min="3335" max="3335" width="13.5703125" style="21" customWidth="1"/>
    <col min="3336" max="3336" width="3.140625" style="21" customWidth="1"/>
    <col min="3337" max="3338" width="4.85546875" style="21" customWidth="1"/>
    <col min="3339" max="3339" width="12.5703125" style="21" customWidth="1"/>
    <col min="3340" max="3340" width="1.140625" style="21" customWidth="1"/>
    <col min="3341" max="3341" width="17.28515625" style="21" customWidth="1"/>
    <col min="3342" max="3342" width="11.85546875" style="21" customWidth="1"/>
    <col min="3343" max="3343" width="19.85546875" style="21" customWidth="1"/>
    <col min="3344" max="3344" width="12.5703125" style="21" customWidth="1"/>
    <col min="3345" max="3345" width="11.5703125" style="21"/>
    <col min="3346" max="3346" width="8.85546875" style="21" customWidth="1"/>
    <col min="3347" max="3347" width="10.28515625" style="21" customWidth="1"/>
    <col min="3348" max="3348" width="10" style="21" customWidth="1"/>
    <col min="3349" max="3349" width="8.140625" style="21" customWidth="1"/>
    <col min="3350" max="3357" width="10.7109375" style="21" customWidth="1"/>
    <col min="3358" max="3358" width="8.42578125" style="21" customWidth="1"/>
    <col min="3359" max="3359" width="10" style="21" customWidth="1"/>
    <col min="3360" max="3360" width="7.28515625" style="21" customWidth="1"/>
    <col min="3361" max="3361" width="9.42578125" style="21" customWidth="1"/>
    <col min="3362" max="3362" width="8.7109375" style="21" customWidth="1"/>
    <col min="3363" max="3363" width="17.140625" style="21" customWidth="1"/>
    <col min="3364" max="3364" width="26.28515625" style="21" customWidth="1"/>
    <col min="3365" max="3588" width="11.5703125" style="21"/>
    <col min="3589" max="3589" width="7.28515625" style="21" customWidth="1"/>
    <col min="3590" max="3590" width="14.85546875" style="21" customWidth="1"/>
    <col min="3591" max="3591" width="13.5703125" style="21" customWidth="1"/>
    <col min="3592" max="3592" width="3.140625" style="21" customWidth="1"/>
    <col min="3593" max="3594" width="4.85546875" style="21" customWidth="1"/>
    <col min="3595" max="3595" width="12.5703125" style="21" customWidth="1"/>
    <col min="3596" max="3596" width="1.140625" style="21" customWidth="1"/>
    <col min="3597" max="3597" width="17.28515625" style="21" customWidth="1"/>
    <col min="3598" max="3598" width="11.85546875" style="21" customWidth="1"/>
    <col min="3599" max="3599" width="19.85546875" style="21" customWidth="1"/>
    <col min="3600" max="3600" width="12.5703125" style="21" customWidth="1"/>
    <col min="3601" max="3601" width="11.5703125" style="21"/>
    <col min="3602" max="3602" width="8.85546875" style="21" customWidth="1"/>
    <col min="3603" max="3603" width="10.28515625" style="21" customWidth="1"/>
    <col min="3604" max="3604" width="10" style="21" customWidth="1"/>
    <col min="3605" max="3605" width="8.140625" style="21" customWidth="1"/>
    <col min="3606" max="3613" width="10.7109375" style="21" customWidth="1"/>
    <col min="3614" max="3614" width="8.42578125" style="21" customWidth="1"/>
    <col min="3615" max="3615" width="10" style="21" customWidth="1"/>
    <col min="3616" max="3616" width="7.28515625" style="21" customWidth="1"/>
    <col min="3617" max="3617" width="9.42578125" style="21" customWidth="1"/>
    <col min="3618" max="3618" width="8.7109375" style="21" customWidth="1"/>
    <col min="3619" max="3619" width="17.140625" style="21" customWidth="1"/>
    <col min="3620" max="3620" width="26.28515625" style="21" customWidth="1"/>
    <col min="3621" max="3844" width="11.5703125" style="21"/>
    <col min="3845" max="3845" width="7.28515625" style="21" customWidth="1"/>
    <col min="3846" max="3846" width="14.85546875" style="21" customWidth="1"/>
    <col min="3847" max="3847" width="13.5703125" style="21" customWidth="1"/>
    <col min="3848" max="3848" width="3.140625" style="21" customWidth="1"/>
    <col min="3849" max="3850" width="4.85546875" style="21" customWidth="1"/>
    <col min="3851" max="3851" width="12.5703125" style="21" customWidth="1"/>
    <col min="3852" max="3852" width="1.140625" style="21" customWidth="1"/>
    <col min="3853" max="3853" width="17.28515625" style="21" customWidth="1"/>
    <col min="3854" max="3854" width="11.85546875" style="21" customWidth="1"/>
    <col min="3855" max="3855" width="19.85546875" style="21" customWidth="1"/>
    <col min="3856" max="3856" width="12.5703125" style="21" customWidth="1"/>
    <col min="3857" max="3857" width="11.5703125" style="21"/>
    <col min="3858" max="3858" width="8.85546875" style="21" customWidth="1"/>
    <col min="3859" max="3859" width="10.28515625" style="21" customWidth="1"/>
    <col min="3860" max="3860" width="10" style="21" customWidth="1"/>
    <col min="3861" max="3861" width="8.140625" style="21" customWidth="1"/>
    <col min="3862" max="3869" width="10.7109375" style="21" customWidth="1"/>
    <col min="3870" max="3870" width="8.42578125" style="21" customWidth="1"/>
    <col min="3871" max="3871" width="10" style="21" customWidth="1"/>
    <col min="3872" max="3872" width="7.28515625" style="21" customWidth="1"/>
    <col min="3873" max="3873" width="9.42578125" style="21" customWidth="1"/>
    <col min="3874" max="3874" width="8.7109375" style="21" customWidth="1"/>
    <col min="3875" max="3875" width="17.140625" style="21" customWidth="1"/>
    <col min="3876" max="3876" width="26.28515625" style="21" customWidth="1"/>
    <col min="3877" max="4100" width="11.5703125" style="21"/>
    <col min="4101" max="4101" width="7.28515625" style="21" customWidth="1"/>
    <col min="4102" max="4102" width="14.85546875" style="21" customWidth="1"/>
    <col min="4103" max="4103" width="13.5703125" style="21" customWidth="1"/>
    <col min="4104" max="4104" width="3.140625" style="21" customWidth="1"/>
    <col min="4105" max="4106" width="4.85546875" style="21" customWidth="1"/>
    <col min="4107" max="4107" width="12.5703125" style="21" customWidth="1"/>
    <col min="4108" max="4108" width="1.140625" style="21" customWidth="1"/>
    <col min="4109" max="4109" width="17.28515625" style="21" customWidth="1"/>
    <col min="4110" max="4110" width="11.85546875" style="21" customWidth="1"/>
    <col min="4111" max="4111" width="19.85546875" style="21" customWidth="1"/>
    <col min="4112" max="4112" width="12.5703125" style="21" customWidth="1"/>
    <col min="4113" max="4113" width="11.5703125" style="21"/>
    <col min="4114" max="4114" width="8.85546875" style="21" customWidth="1"/>
    <col min="4115" max="4115" width="10.28515625" style="21" customWidth="1"/>
    <col min="4116" max="4116" width="10" style="21" customWidth="1"/>
    <col min="4117" max="4117" width="8.140625" style="21" customWidth="1"/>
    <col min="4118" max="4125" width="10.7109375" style="21" customWidth="1"/>
    <col min="4126" max="4126" width="8.42578125" style="21" customWidth="1"/>
    <col min="4127" max="4127" width="10" style="21" customWidth="1"/>
    <col min="4128" max="4128" width="7.28515625" style="21" customWidth="1"/>
    <col min="4129" max="4129" width="9.42578125" style="21" customWidth="1"/>
    <col min="4130" max="4130" width="8.7109375" style="21" customWidth="1"/>
    <col min="4131" max="4131" width="17.140625" style="21" customWidth="1"/>
    <col min="4132" max="4132" width="26.28515625" style="21" customWidth="1"/>
    <col min="4133" max="4356" width="11.5703125" style="21"/>
    <col min="4357" max="4357" width="7.28515625" style="21" customWidth="1"/>
    <col min="4358" max="4358" width="14.85546875" style="21" customWidth="1"/>
    <col min="4359" max="4359" width="13.5703125" style="21" customWidth="1"/>
    <col min="4360" max="4360" width="3.140625" style="21" customWidth="1"/>
    <col min="4361" max="4362" width="4.85546875" style="21" customWidth="1"/>
    <col min="4363" max="4363" width="12.5703125" style="21" customWidth="1"/>
    <col min="4364" max="4364" width="1.140625" style="21" customWidth="1"/>
    <col min="4365" max="4365" width="17.28515625" style="21" customWidth="1"/>
    <col min="4366" max="4366" width="11.85546875" style="21" customWidth="1"/>
    <col min="4367" max="4367" width="19.85546875" style="21" customWidth="1"/>
    <col min="4368" max="4368" width="12.5703125" style="21" customWidth="1"/>
    <col min="4369" max="4369" width="11.5703125" style="21"/>
    <col min="4370" max="4370" width="8.85546875" style="21" customWidth="1"/>
    <col min="4371" max="4371" width="10.28515625" style="21" customWidth="1"/>
    <col min="4372" max="4372" width="10" style="21" customWidth="1"/>
    <col min="4373" max="4373" width="8.140625" style="21" customWidth="1"/>
    <col min="4374" max="4381" width="10.7109375" style="21" customWidth="1"/>
    <col min="4382" max="4382" width="8.42578125" style="21" customWidth="1"/>
    <col min="4383" max="4383" width="10" style="21" customWidth="1"/>
    <col min="4384" max="4384" width="7.28515625" style="21" customWidth="1"/>
    <col min="4385" max="4385" width="9.42578125" style="21" customWidth="1"/>
    <col min="4386" max="4386" width="8.7109375" style="21" customWidth="1"/>
    <col min="4387" max="4387" width="17.140625" style="21" customWidth="1"/>
    <col min="4388" max="4388" width="26.28515625" style="21" customWidth="1"/>
    <col min="4389" max="4612" width="11.5703125" style="21"/>
    <col min="4613" max="4613" width="7.28515625" style="21" customWidth="1"/>
    <col min="4614" max="4614" width="14.85546875" style="21" customWidth="1"/>
    <col min="4615" max="4615" width="13.5703125" style="21" customWidth="1"/>
    <col min="4616" max="4616" width="3.140625" style="21" customWidth="1"/>
    <col min="4617" max="4618" width="4.85546875" style="21" customWidth="1"/>
    <col min="4619" max="4619" width="12.5703125" style="21" customWidth="1"/>
    <col min="4620" max="4620" width="1.140625" style="21" customWidth="1"/>
    <col min="4621" max="4621" width="17.28515625" style="21" customWidth="1"/>
    <col min="4622" max="4622" width="11.85546875" style="21" customWidth="1"/>
    <col min="4623" max="4623" width="19.85546875" style="21" customWidth="1"/>
    <col min="4624" max="4624" width="12.5703125" style="21" customWidth="1"/>
    <col min="4625" max="4625" width="11.5703125" style="21"/>
    <col min="4626" max="4626" width="8.85546875" style="21" customWidth="1"/>
    <col min="4627" max="4627" width="10.28515625" style="21" customWidth="1"/>
    <col min="4628" max="4628" width="10" style="21" customWidth="1"/>
    <col min="4629" max="4629" width="8.140625" style="21" customWidth="1"/>
    <col min="4630" max="4637" width="10.7109375" style="21" customWidth="1"/>
    <col min="4638" max="4638" width="8.42578125" style="21" customWidth="1"/>
    <col min="4639" max="4639" width="10" style="21" customWidth="1"/>
    <col min="4640" max="4640" width="7.28515625" style="21" customWidth="1"/>
    <col min="4641" max="4641" width="9.42578125" style="21" customWidth="1"/>
    <col min="4642" max="4642" width="8.7109375" style="21" customWidth="1"/>
    <col min="4643" max="4643" width="17.140625" style="21" customWidth="1"/>
    <col min="4644" max="4644" width="26.28515625" style="21" customWidth="1"/>
    <col min="4645" max="4868" width="11.5703125" style="21"/>
    <col min="4869" max="4869" width="7.28515625" style="21" customWidth="1"/>
    <col min="4870" max="4870" width="14.85546875" style="21" customWidth="1"/>
    <col min="4871" max="4871" width="13.5703125" style="21" customWidth="1"/>
    <col min="4872" max="4872" width="3.140625" style="21" customWidth="1"/>
    <col min="4873" max="4874" width="4.85546875" style="21" customWidth="1"/>
    <col min="4875" max="4875" width="12.5703125" style="21" customWidth="1"/>
    <col min="4876" max="4876" width="1.140625" style="21" customWidth="1"/>
    <col min="4877" max="4877" width="17.28515625" style="21" customWidth="1"/>
    <col min="4878" max="4878" width="11.85546875" style="21" customWidth="1"/>
    <col min="4879" max="4879" width="19.85546875" style="21" customWidth="1"/>
    <col min="4880" max="4880" width="12.5703125" style="21" customWidth="1"/>
    <col min="4881" max="4881" width="11.5703125" style="21"/>
    <col min="4882" max="4882" width="8.85546875" style="21" customWidth="1"/>
    <col min="4883" max="4883" width="10.28515625" style="21" customWidth="1"/>
    <col min="4884" max="4884" width="10" style="21" customWidth="1"/>
    <col min="4885" max="4885" width="8.140625" style="21" customWidth="1"/>
    <col min="4886" max="4893" width="10.7109375" style="21" customWidth="1"/>
    <col min="4894" max="4894" width="8.42578125" style="21" customWidth="1"/>
    <col min="4895" max="4895" width="10" style="21" customWidth="1"/>
    <col min="4896" max="4896" width="7.28515625" style="21" customWidth="1"/>
    <col min="4897" max="4897" width="9.42578125" style="21" customWidth="1"/>
    <col min="4898" max="4898" width="8.7109375" style="21" customWidth="1"/>
    <col min="4899" max="4899" width="17.140625" style="21" customWidth="1"/>
    <col min="4900" max="4900" width="26.28515625" style="21" customWidth="1"/>
    <col min="4901" max="5124" width="11.5703125" style="21"/>
    <col min="5125" max="5125" width="7.28515625" style="21" customWidth="1"/>
    <col min="5126" max="5126" width="14.85546875" style="21" customWidth="1"/>
    <col min="5127" max="5127" width="13.5703125" style="21" customWidth="1"/>
    <col min="5128" max="5128" width="3.140625" style="21" customWidth="1"/>
    <col min="5129" max="5130" width="4.85546875" style="21" customWidth="1"/>
    <col min="5131" max="5131" width="12.5703125" style="21" customWidth="1"/>
    <col min="5132" max="5132" width="1.140625" style="21" customWidth="1"/>
    <col min="5133" max="5133" width="17.28515625" style="21" customWidth="1"/>
    <col min="5134" max="5134" width="11.85546875" style="21" customWidth="1"/>
    <col min="5135" max="5135" width="19.85546875" style="21" customWidth="1"/>
    <col min="5136" max="5136" width="12.5703125" style="21" customWidth="1"/>
    <col min="5137" max="5137" width="11.5703125" style="21"/>
    <col min="5138" max="5138" width="8.85546875" style="21" customWidth="1"/>
    <col min="5139" max="5139" width="10.28515625" style="21" customWidth="1"/>
    <col min="5140" max="5140" width="10" style="21" customWidth="1"/>
    <col min="5141" max="5141" width="8.140625" style="21" customWidth="1"/>
    <col min="5142" max="5149" width="10.7109375" style="21" customWidth="1"/>
    <col min="5150" max="5150" width="8.42578125" style="21" customWidth="1"/>
    <col min="5151" max="5151" width="10" style="21" customWidth="1"/>
    <col min="5152" max="5152" width="7.28515625" style="21" customWidth="1"/>
    <col min="5153" max="5153" width="9.42578125" style="21" customWidth="1"/>
    <col min="5154" max="5154" width="8.7109375" style="21" customWidth="1"/>
    <col min="5155" max="5155" width="17.140625" style="21" customWidth="1"/>
    <col min="5156" max="5156" width="26.28515625" style="21" customWidth="1"/>
    <col min="5157" max="5380" width="11.5703125" style="21"/>
    <col min="5381" max="5381" width="7.28515625" style="21" customWidth="1"/>
    <col min="5382" max="5382" width="14.85546875" style="21" customWidth="1"/>
    <col min="5383" max="5383" width="13.5703125" style="21" customWidth="1"/>
    <col min="5384" max="5384" width="3.140625" style="21" customWidth="1"/>
    <col min="5385" max="5386" width="4.85546875" style="21" customWidth="1"/>
    <col min="5387" max="5387" width="12.5703125" style="21" customWidth="1"/>
    <col min="5388" max="5388" width="1.140625" style="21" customWidth="1"/>
    <col min="5389" max="5389" width="17.28515625" style="21" customWidth="1"/>
    <col min="5390" max="5390" width="11.85546875" style="21" customWidth="1"/>
    <col min="5391" max="5391" width="19.85546875" style="21" customWidth="1"/>
    <col min="5392" max="5392" width="12.5703125" style="21" customWidth="1"/>
    <col min="5393" max="5393" width="11.5703125" style="21"/>
    <col min="5394" max="5394" width="8.85546875" style="21" customWidth="1"/>
    <col min="5395" max="5395" width="10.28515625" style="21" customWidth="1"/>
    <col min="5396" max="5396" width="10" style="21" customWidth="1"/>
    <col min="5397" max="5397" width="8.140625" style="21" customWidth="1"/>
    <col min="5398" max="5405" width="10.7109375" style="21" customWidth="1"/>
    <col min="5406" max="5406" width="8.42578125" style="21" customWidth="1"/>
    <col min="5407" max="5407" width="10" style="21" customWidth="1"/>
    <col min="5408" max="5408" width="7.28515625" style="21" customWidth="1"/>
    <col min="5409" max="5409" width="9.42578125" style="21" customWidth="1"/>
    <col min="5410" max="5410" width="8.7109375" style="21" customWidth="1"/>
    <col min="5411" max="5411" width="17.140625" style="21" customWidth="1"/>
    <col min="5412" max="5412" width="26.28515625" style="21" customWidth="1"/>
    <col min="5413" max="5636" width="11.5703125" style="21"/>
    <col min="5637" max="5637" width="7.28515625" style="21" customWidth="1"/>
    <col min="5638" max="5638" width="14.85546875" style="21" customWidth="1"/>
    <col min="5639" max="5639" width="13.5703125" style="21" customWidth="1"/>
    <col min="5640" max="5640" width="3.140625" style="21" customWidth="1"/>
    <col min="5641" max="5642" width="4.85546875" style="21" customWidth="1"/>
    <col min="5643" max="5643" width="12.5703125" style="21" customWidth="1"/>
    <col min="5644" max="5644" width="1.140625" style="21" customWidth="1"/>
    <col min="5645" max="5645" width="17.28515625" style="21" customWidth="1"/>
    <col min="5646" max="5646" width="11.85546875" style="21" customWidth="1"/>
    <col min="5647" max="5647" width="19.85546875" style="21" customWidth="1"/>
    <col min="5648" max="5648" width="12.5703125" style="21" customWidth="1"/>
    <col min="5649" max="5649" width="11.5703125" style="21"/>
    <col min="5650" max="5650" width="8.85546875" style="21" customWidth="1"/>
    <col min="5651" max="5651" width="10.28515625" style="21" customWidth="1"/>
    <col min="5652" max="5652" width="10" style="21" customWidth="1"/>
    <col min="5653" max="5653" width="8.140625" style="21" customWidth="1"/>
    <col min="5654" max="5661" width="10.7109375" style="21" customWidth="1"/>
    <col min="5662" max="5662" width="8.42578125" style="21" customWidth="1"/>
    <col min="5663" max="5663" width="10" style="21" customWidth="1"/>
    <col min="5664" max="5664" width="7.28515625" style="21" customWidth="1"/>
    <col min="5665" max="5665" width="9.42578125" style="21" customWidth="1"/>
    <col min="5666" max="5666" width="8.7109375" style="21" customWidth="1"/>
    <col min="5667" max="5667" width="17.140625" style="21" customWidth="1"/>
    <col min="5668" max="5668" width="26.28515625" style="21" customWidth="1"/>
    <col min="5669" max="5892" width="11.5703125" style="21"/>
    <col min="5893" max="5893" width="7.28515625" style="21" customWidth="1"/>
    <col min="5894" max="5894" width="14.85546875" style="21" customWidth="1"/>
    <col min="5895" max="5895" width="13.5703125" style="21" customWidth="1"/>
    <col min="5896" max="5896" width="3.140625" style="21" customWidth="1"/>
    <col min="5897" max="5898" width="4.85546875" style="21" customWidth="1"/>
    <col min="5899" max="5899" width="12.5703125" style="21" customWidth="1"/>
    <col min="5900" max="5900" width="1.140625" style="21" customWidth="1"/>
    <col min="5901" max="5901" width="17.28515625" style="21" customWidth="1"/>
    <col min="5902" max="5902" width="11.85546875" style="21" customWidth="1"/>
    <col min="5903" max="5903" width="19.85546875" style="21" customWidth="1"/>
    <col min="5904" max="5904" width="12.5703125" style="21" customWidth="1"/>
    <col min="5905" max="5905" width="11.5703125" style="21"/>
    <col min="5906" max="5906" width="8.85546875" style="21" customWidth="1"/>
    <col min="5907" max="5907" width="10.28515625" style="21" customWidth="1"/>
    <col min="5908" max="5908" width="10" style="21" customWidth="1"/>
    <col min="5909" max="5909" width="8.140625" style="21" customWidth="1"/>
    <col min="5910" max="5917" width="10.7109375" style="21" customWidth="1"/>
    <col min="5918" max="5918" width="8.42578125" style="21" customWidth="1"/>
    <col min="5919" max="5919" width="10" style="21" customWidth="1"/>
    <col min="5920" max="5920" width="7.28515625" style="21" customWidth="1"/>
    <col min="5921" max="5921" width="9.42578125" style="21" customWidth="1"/>
    <col min="5922" max="5922" width="8.7109375" style="21" customWidth="1"/>
    <col min="5923" max="5923" width="17.140625" style="21" customWidth="1"/>
    <col min="5924" max="5924" width="26.28515625" style="21" customWidth="1"/>
    <col min="5925" max="6148" width="11.5703125" style="21"/>
    <col min="6149" max="6149" width="7.28515625" style="21" customWidth="1"/>
    <col min="6150" max="6150" width="14.85546875" style="21" customWidth="1"/>
    <col min="6151" max="6151" width="13.5703125" style="21" customWidth="1"/>
    <col min="6152" max="6152" width="3.140625" style="21" customWidth="1"/>
    <col min="6153" max="6154" width="4.85546875" style="21" customWidth="1"/>
    <col min="6155" max="6155" width="12.5703125" style="21" customWidth="1"/>
    <col min="6156" max="6156" width="1.140625" style="21" customWidth="1"/>
    <col min="6157" max="6157" width="17.28515625" style="21" customWidth="1"/>
    <col min="6158" max="6158" width="11.85546875" style="21" customWidth="1"/>
    <col min="6159" max="6159" width="19.85546875" style="21" customWidth="1"/>
    <col min="6160" max="6160" width="12.5703125" style="21" customWidth="1"/>
    <col min="6161" max="6161" width="11.5703125" style="21"/>
    <col min="6162" max="6162" width="8.85546875" style="21" customWidth="1"/>
    <col min="6163" max="6163" width="10.28515625" style="21" customWidth="1"/>
    <col min="6164" max="6164" width="10" style="21" customWidth="1"/>
    <col min="6165" max="6165" width="8.140625" style="21" customWidth="1"/>
    <col min="6166" max="6173" width="10.7109375" style="21" customWidth="1"/>
    <col min="6174" max="6174" width="8.42578125" style="21" customWidth="1"/>
    <col min="6175" max="6175" width="10" style="21" customWidth="1"/>
    <col min="6176" max="6176" width="7.28515625" style="21" customWidth="1"/>
    <col min="6177" max="6177" width="9.42578125" style="21" customWidth="1"/>
    <col min="6178" max="6178" width="8.7109375" style="21" customWidth="1"/>
    <col min="6179" max="6179" width="17.140625" style="21" customWidth="1"/>
    <col min="6180" max="6180" width="26.28515625" style="21" customWidth="1"/>
    <col min="6181" max="6404" width="11.5703125" style="21"/>
    <col min="6405" max="6405" width="7.28515625" style="21" customWidth="1"/>
    <col min="6406" max="6406" width="14.85546875" style="21" customWidth="1"/>
    <col min="6407" max="6407" width="13.5703125" style="21" customWidth="1"/>
    <col min="6408" max="6408" width="3.140625" style="21" customWidth="1"/>
    <col min="6409" max="6410" width="4.85546875" style="21" customWidth="1"/>
    <col min="6411" max="6411" width="12.5703125" style="21" customWidth="1"/>
    <col min="6412" max="6412" width="1.140625" style="21" customWidth="1"/>
    <col min="6413" max="6413" width="17.28515625" style="21" customWidth="1"/>
    <col min="6414" max="6414" width="11.85546875" style="21" customWidth="1"/>
    <col min="6415" max="6415" width="19.85546875" style="21" customWidth="1"/>
    <col min="6416" max="6416" width="12.5703125" style="21" customWidth="1"/>
    <col min="6417" max="6417" width="11.5703125" style="21"/>
    <col min="6418" max="6418" width="8.85546875" style="21" customWidth="1"/>
    <col min="6419" max="6419" width="10.28515625" style="21" customWidth="1"/>
    <col min="6420" max="6420" width="10" style="21" customWidth="1"/>
    <col min="6421" max="6421" width="8.140625" style="21" customWidth="1"/>
    <col min="6422" max="6429" width="10.7109375" style="21" customWidth="1"/>
    <col min="6430" max="6430" width="8.42578125" style="21" customWidth="1"/>
    <col min="6431" max="6431" width="10" style="21" customWidth="1"/>
    <col min="6432" max="6432" width="7.28515625" style="21" customWidth="1"/>
    <col min="6433" max="6433" width="9.42578125" style="21" customWidth="1"/>
    <col min="6434" max="6434" width="8.7109375" style="21" customWidth="1"/>
    <col min="6435" max="6435" width="17.140625" style="21" customWidth="1"/>
    <col min="6436" max="6436" width="26.28515625" style="21" customWidth="1"/>
    <col min="6437" max="6660" width="11.5703125" style="21"/>
    <col min="6661" max="6661" width="7.28515625" style="21" customWidth="1"/>
    <col min="6662" max="6662" width="14.85546875" style="21" customWidth="1"/>
    <col min="6663" max="6663" width="13.5703125" style="21" customWidth="1"/>
    <col min="6664" max="6664" width="3.140625" style="21" customWidth="1"/>
    <col min="6665" max="6666" width="4.85546875" style="21" customWidth="1"/>
    <col min="6667" max="6667" width="12.5703125" style="21" customWidth="1"/>
    <col min="6668" max="6668" width="1.140625" style="21" customWidth="1"/>
    <col min="6669" max="6669" width="17.28515625" style="21" customWidth="1"/>
    <col min="6670" max="6670" width="11.85546875" style="21" customWidth="1"/>
    <col min="6671" max="6671" width="19.85546875" style="21" customWidth="1"/>
    <col min="6672" max="6672" width="12.5703125" style="21" customWidth="1"/>
    <col min="6673" max="6673" width="11.5703125" style="21"/>
    <col min="6674" max="6674" width="8.85546875" style="21" customWidth="1"/>
    <col min="6675" max="6675" width="10.28515625" style="21" customWidth="1"/>
    <col min="6676" max="6676" width="10" style="21" customWidth="1"/>
    <col min="6677" max="6677" width="8.140625" style="21" customWidth="1"/>
    <col min="6678" max="6685" width="10.7109375" style="21" customWidth="1"/>
    <col min="6686" max="6686" width="8.42578125" style="21" customWidth="1"/>
    <col min="6687" max="6687" width="10" style="21" customWidth="1"/>
    <col min="6688" max="6688" width="7.28515625" style="21" customWidth="1"/>
    <col min="6689" max="6689" width="9.42578125" style="21" customWidth="1"/>
    <col min="6690" max="6690" width="8.7109375" style="21" customWidth="1"/>
    <col min="6691" max="6691" width="17.140625" style="21" customWidth="1"/>
    <col min="6692" max="6692" width="26.28515625" style="21" customWidth="1"/>
    <col min="6693" max="6916" width="11.5703125" style="21"/>
    <col min="6917" max="6917" width="7.28515625" style="21" customWidth="1"/>
    <col min="6918" max="6918" width="14.85546875" style="21" customWidth="1"/>
    <col min="6919" max="6919" width="13.5703125" style="21" customWidth="1"/>
    <col min="6920" max="6920" width="3.140625" style="21" customWidth="1"/>
    <col min="6921" max="6922" width="4.85546875" style="21" customWidth="1"/>
    <col min="6923" max="6923" width="12.5703125" style="21" customWidth="1"/>
    <col min="6924" max="6924" width="1.140625" style="21" customWidth="1"/>
    <col min="6925" max="6925" width="17.28515625" style="21" customWidth="1"/>
    <col min="6926" max="6926" width="11.85546875" style="21" customWidth="1"/>
    <col min="6927" max="6927" width="19.85546875" style="21" customWidth="1"/>
    <col min="6928" max="6928" width="12.5703125" style="21" customWidth="1"/>
    <col min="6929" max="6929" width="11.5703125" style="21"/>
    <col min="6930" max="6930" width="8.85546875" style="21" customWidth="1"/>
    <col min="6931" max="6931" width="10.28515625" style="21" customWidth="1"/>
    <col min="6932" max="6932" width="10" style="21" customWidth="1"/>
    <col min="6933" max="6933" width="8.140625" style="21" customWidth="1"/>
    <col min="6934" max="6941" width="10.7109375" style="21" customWidth="1"/>
    <col min="6942" max="6942" width="8.42578125" style="21" customWidth="1"/>
    <col min="6943" max="6943" width="10" style="21" customWidth="1"/>
    <col min="6944" max="6944" width="7.28515625" style="21" customWidth="1"/>
    <col min="6945" max="6945" width="9.42578125" style="21" customWidth="1"/>
    <col min="6946" max="6946" width="8.7109375" style="21" customWidth="1"/>
    <col min="6947" max="6947" width="17.140625" style="21" customWidth="1"/>
    <col min="6948" max="6948" width="26.28515625" style="21" customWidth="1"/>
    <col min="6949" max="7172" width="11.5703125" style="21"/>
    <col min="7173" max="7173" width="7.28515625" style="21" customWidth="1"/>
    <col min="7174" max="7174" width="14.85546875" style="21" customWidth="1"/>
    <col min="7175" max="7175" width="13.5703125" style="21" customWidth="1"/>
    <col min="7176" max="7176" width="3.140625" style="21" customWidth="1"/>
    <col min="7177" max="7178" width="4.85546875" style="21" customWidth="1"/>
    <col min="7179" max="7179" width="12.5703125" style="21" customWidth="1"/>
    <col min="7180" max="7180" width="1.140625" style="21" customWidth="1"/>
    <col min="7181" max="7181" width="17.28515625" style="21" customWidth="1"/>
    <col min="7182" max="7182" width="11.85546875" style="21" customWidth="1"/>
    <col min="7183" max="7183" width="19.85546875" style="21" customWidth="1"/>
    <col min="7184" max="7184" width="12.5703125" style="21" customWidth="1"/>
    <col min="7185" max="7185" width="11.5703125" style="21"/>
    <col min="7186" max="7186" width="8.85546875" style="21" customWidth="1"/>
    <col min="7187" max="7187" width="10.28515625" style="21" customWidth="1"/>
    <col min="7188" max="7188" width="10" style="21" customWidth="1"/>
    <col min="7189" max="7189" width="8.140625" style="21" customWidth="1"/>
    <col min="7190" max="7197" width="10.7109375" style="21" customWidth="1"/>
    <col min="7198" max="7198" width="8.42578125" style="21" customWidth="1"/>
    <col min="7199" max="7199" width="10" style="21" customWidth="1"/>
    <col min="7200" max="7200" width="7.28515625" style="21" customWidth="1"/>
    <col min="7201" max="7201" width="9.42578125" style="21" customWidth="1"/>
    <col min="7202" max="7202" width="8.7109375" style="21" customWidth="1"/>
    <col min="7203" max="7203" width="17.140625" style="21" customWidth="1"/>
    <col min="7204" max="7204" width="26.28515625" style="21" customWidth="1"/>
    <col min="7205" max="7428" width="11.5703125" style="21"/>
    <col min="7429" max="7429" width="7.28515625" style="21" customWidth="1"/>
    <col min="7430" max="7430" width="14.85546875" style="21" customWidth="1"/>
    <col min="7431" max="7431" width="13.5703125" style="21" customWidth="1"/>
    <col min="7432" max="7432" width="3.140625" style="21" customWidth="1"/>
    <col min="7433" max="7434" width="4.85546875" style="21" customWidth="1"/>
    <col min="7435" max="7435" width="12.5703125" style="21" customWidth="1"/>
    <col min="7436" max="7436" width="1.140625" style="21" customWidth="1"/>
    <col min="7437" max="7437" width="17.28515625" style="21" customWidth="1"/>
    <col min="7438" max="7438" width="11.85546875" style="21" customWidth="1"/>
    <col min="7439" max="7439" width="19.85546875" style="21" customWidth="1"/>
    <col min="7440" max="7440" width="12.5703125" style="21" customWidth="1"/>
    <col min="7441" max="7441" width="11.5703125" style="21"/>
    <col min="7442" max="7442" width="8.85546875" style="21" customWidth="1"/>
    <col min="7443" max="7443" width="10.28515625" style="21" customWidth="1"/>
    <col min="7444" max="7444" width="10" style="21" customWidth="1"/>
    <col min="7445" max="7445" width="8.140625" style="21" customWidth="1"/>
    <col min="7446" max="7453" width="10.7109375" style="21" customWidth="1"/>
    <col min="7454" max="7454" width="8.42578125" style="21" customWidth="1"/>
    <col min="7455" max="7455" width="10" style="21" customWidth="1"/>
    <col min="7456" max="7456" width="7.28515625" style="21" customWidth="1"/>
    <col min="7457" max="7457" width="9.42578125" style="21" customWidth="1"/>
    <col min="7458" max="7458" width="8.7109375" style="21" customWidth="1"/>
    <col min="7459" max="7459" width="17.140625" style="21" customWidth="1"/>
    <col min="7460" max="7460" width="26.28515625" style="21" customWidth="1"/>
    <col min="7461" max="7684" width="11.5703125" style="21"/>
    <col min="7685" max="7685" width="7.28515625" style="21" customWidth="1"/>
    <col min="7686" max="7686" width="14.85546875" style="21" customWidth="1"/>
    <col min="7687" max="7687" width="13.5703125" style="21" customWidth="1"/>
    <col min="7688" max="7688" width="3.140625" style="21" customWidth="1"/>
    <col min="7689" max="7690" width="4.85546875" style="21" customWidth="1"/>
    <col min="7691" max="7691" width="12.5703125" style="21" customWidth="1"/>
    <col min="7692" max="7692" width="1.140625" style="21" customWidth="1"/>
    <col min="7693" max="7693" width="17.28515625" style="21" customWidth="1"/>
    <col min="7694" max="7694" width="11.85546875" style="21" customWidth="1"/>
    <col min="7695" max="7695" width="19.85546875" style="21" customWidth="1"/>
    <col min="7696" max="7696" width="12.5703125" style="21" customWidth="1"/>
    <col min="7697" max="7697" width="11.5703125" style="21"/>
    <col min="7698" max="7698" width="8.85546875" style="21" customWidth="1"/>
    <col min="7699" max="7699" width="10.28515625" style="21" customWidth="1"/>
    <col min="7700" max="7700" width="10" style="21" customWidth="1"/>
    <col min="7701" max="7701" width="8.140625" style="21" customWidth="1"/>
    <col min="7702" max="7709" width="10.7109375" style="21" customWidth="1"/>
    <col min="7710" max="7710" width="8.42578125" style="21" customWidth="1"/>
    <col min="7711" max="7711" width="10" style="21" customWidth="1"/>
    <col min="7712" max="7712" width="7.28515625" style="21" customWidth="1"/>
    <col min="7713" max="7713" width="9.42578125" style="21" customWidth="1"/>
    <col min="7714" max="7714" width="8.7109375" style="21" customWidth="1"/>
    <col min="7715" max="7715" width="17.140625" style="21" customWidth="1"/>
    <col min="7716" max="7716" width="26.28515625" style="21" customWidth="1"/>
    <col min="7717" max="7940" width="11.5703125" style="21"/>
    <col min="7941" max="7941" width="7.28515625" style="21" customWidth="1"/>
    <col min="7942" max="7942" width="14.85546875" style="21" customWidth="1"/>
    <col min="7943" max="7943" width="13.5703125" style="21" customWidth="1"/>
    <col min="7944" max="7944" width="3.140625" style="21" customWidth="1"/>
    <col min="7945" max="7946" width="4.85546875" style="21" customWidth="1"/>
    <col min="7947" max="7947" width="12.5703125" style="21" customWidth="1"/>
    <col min="7948" max="7948" width="1.140625" style="21" customWidth="1"/>
    <col min="7949" max="7949" width="17.28515625" style="21" customWidth="1"/>
    <col min="7950" max="7950" width="11.85546875" style="21" customWidth="1"/>
    <col min="7951" max="7951" width="19.85546875" style="21" customWidth="1"/>
    <col min="7952" max="7952" width="12.5703125" style="21" customWidth="1"/>
    <col min="7953" max="7953" width="11.5703125" style="21"/>
    <col min="7954" max="7954" width="8.85546875" style="21" customWidth="1"/>
    <col min="7955" max="7955" width="10.28515625" style="21" customWidth="1"/>
    <col min="7956" max="7956" width="10" style="21" customWidth="1"/>
    <col min="7957" max="7957" width="8.140625" style="21" customWidth="1"/>
    <col min="7958" max="7965" width="10.7109375" style="21" customWidth="1"/>
    <col min="7966" max="7966" width="8.42578125" style="21" customWidth="1"/>
    <col min="7967" max="7967" width="10" style="21" customWidth="1"/>
    <col min="7968" max="7968" width="7.28515625" style="21" customWidth="1"/>
    <col min="7969" max="7969" width="9.42578125" style="21" customWidth="1"/>
    <col min="7970" max="7970" width="8.7109375" style="21" customWidth="1"/>
    <col min="7971" max="7971" width="17.140625" style="21" customWidth="1"/>
    <col min="7972" max="7972" width="26.28515625" style="21" customWidth="1"/>
    <col min="7973" max="8196" width="11.5703125" style="21"/>
    <col min="8197" max="8197" width="7.28515625" style="21" customWidth="1"/>
    <col min="8198" max="8198" width="14.85546875" style="21" customWidth="1"/>
    <col min="8199" max="8199" width="13.5703125" style="21" customWidth="1"/>
    <col min="8200" max="8200" width="3.140625" style="21" customWidth="1"/>
    <col min="8201" max="8202" width="4.85546875" style="21" customWidth="1"/>
    <col min="8203" max="8203" width="12.5703125" style="21" customWidth="1"/>
    <col min="8204" max="8204" width="1.140625" style="21" customWidth="1"/>
    <col min="8205" max="8205" width="17.28515625" style="21" customWidth="1"/>
    <col min="8206" max="8206" width="11.85546875" style="21" customWidth="1"/>
    <col min="8207" max="8207" width="19.85546875" style="21" customWidth="1"/>
    <col min="8208" max="8208" width="12.5703125" style="21" customWidth="1"/>
    <col min="8209" max="8209" width="11.5703125" style="21"/>
    <col min="8210" max="8210" width="8.85546875" style="21" customWidth="1"/>
    <col min="8211" max="8211" width="10.28515625" style="21" customWidth="1"/>
    <col min="8212" max="8212" width="10" style="21" customWidth="1"/>
    <col min="8213" max="8213" width="8.140625" style="21" customWidth="1"/>
    <col min="8214" max="8221" width="10.7109375" style="21" customWidth="1"/>
    <col min="8222" max="8222" width="8.42578125" style="21" customWidth="1"/>
    <col min="8223" max="8223" width="10" style="21" customWidth="1"/>
    <col min="8224" max="8224" width="7.28515625" style="21" customWidth="1"/>
    <col min="8225" max="8225" width="9.42578125" style="21" customWidth="1"/>
    <col min="8226" max="8226" width="8.7109375" style="21" customWidth="1"/>
    <col min="8227" max="8227" width="17.140625" style="21" customWidth="1"/>
    <col min="8228" max="8228" width="26.28515625" style="21" customWidth="1"/>
    <col min="8229" max="8452" width="11.5703125" style="21"/>
    <col min="8453" max="8453" width="7.28515625" style="21" customWidth="1"/>
    <col min="8454" max="8454" width="14.85546875" style="21" customWidth="1"/>
    <col min="8455" max="8455" width="13.5703125" style="21" customWidth="1"/>
    <col min="8456" max="8456" width="3.140625" style="21" customWidth="1"/>
    <col min="8457" max="8458" width="4.85546875" style="21" customWidth="1"/>
    <col min="8459" max="8459" width="12.5703125" style="21" customWidth="1"/>
    <col min="8460" max="8460" width="1.140625" style="21" customWidth="1"/>
    <col min="8461" max="8461" width="17.28515625" style="21" customWidth="1"/>
    <col min="8462" max="8462" width="11.85546875" style="21" customWidth="1"/>
    <col min="8463" max="8463" width="19.85546875" style="21" customWidth="1"/>
    <col min="8464" max="8464" width="12.5703125" style="21" customWidth="1"/>
    <col min="8465" max="8465" width="11.5703125" style="21"/>
    <col min="8466" max="8466" width="8.85546875" style="21" customWidth="1"/>
    <col min="8467" max="8467" width="10.28515625" style="21" customWidth="1"/>
    <col min="8468" max="8468" width="10" style="21" customWidth="1"/>
    <col min="8469" max="8469" width="8.140625" style="21" customWidth="1"/>
    <col min="8470" max="8477" width="10.7109375" style="21" customWidth="1"/>
    <col min="8478" max="8478" width="8.42578125" style="21" customWidth="1"/>
    <col min="8479" max="8479" width="10" style="21" customWidth="1"/>
    <col min="8480" max="8480" width="7.28515625" style="21" customWidth="1"/>
    <col min="8481" max="8481" width="9.42578125" style="21" customWidth="1"/>
    <col min="8482" max="8482" width="8.7109375" style="21" customWidth="1"/>
    <col min="8483" max="8483" width="17.140625" style="21" customWidth="1"/>
    <col min="8484" max="8484" width="26.28515625" style="21" customWidth="1"/>
    <col min="8485" max="8708" width="11.5703125" style="21"/>
    <col min="8709" max="8709" width="7.28515625" style="21" customWidth="1"/>
    <col min="8710" max="8710" width="14.85546875" style="21" customWidth="1"/>
    <col min="8711" max="8711" width="13.5703125" style="21" customWidth="1"/>
    <col min="8712" max="8712" width="3.140625" style="21" customWidth="1"/>
    <col min="8713" max="8714" width="4.85546875" style="21" customWidth="1"/>
    <col min="8715" max="8715" width="12.5703125" style="21" customWidth="1"/>
    <col min="8716" max="8716" width="1.140625" style="21" customWidth="1"/>
    <col min="8717" max="8717" width="17.28515625" style="21" customWidth="1"/>
    <col min="8718" max="8718" width="11.85546875" style="21" customWidth="1"/>
    <col min="8719" max="8719" width="19.85546875" style="21" customWidth="1"/>
    <col min="8720" max="8720" width="12.5703125" style="21" customWidth="1"/>
    <col min="8721" max="8721" width="11.5703125" style="21"/>
    <col min="8722" max="8722" width="8.85546875" style="21" customWidth="1"/>
    <col min="8723" max="8723" width="10.28515625" style="21" customWidth="1"/>
    <col min="8724" max="8724" width="10" style="21" customWidth="1"/>
    <col min="8725" max="8725" width="8.140625" style="21" customWidth="1"/>
    <col min="8726" max="8733" width="10.7109375" style="21" customWidth="1"/>
    <col min="8734" max="8734" width="8.42578125" style="21" customWidth="1"/>
    <col min="8735" max="8735" width="10" style="21" customWidth="1"/>
    <col min="8736" max="8736" width="7.28515625" style="21" customWidth="1"/>
    <col min="8737" max="8737" width="9.42578125" style="21" customWidth="1"/>
    <col min="8738" max="8738" width="8.7109375" style="21" customWidth="1"/>
    <col min="8739" max="8739" width="17.140625" style="21" customWidth="1"/>
    <col min="8740" max="8740" width="26.28515625" style="21" customWidth="1"/>
    <col min="8741" max="8964" width="11.5703125" style="21"/>
    <col min="8965" max="8965" width="7.28515625" style="21" customWidth="1"/>
    <col min="8966" max="8966" width="14.85546875" style="21" customWidth="1"/>
    <col min="8967" max="8967" width="13.5703125" style="21" customWidth="1"/>
    <col min="8968" max="8968" width="3.140625" style="21" customWidth="1"/>
    <col min="8969" max="8970" width="4.85546875" style="21" customWidth="1"/>
    <col min="8971" max="8971" width="12.5703125" style="21" customWidth="1"/>
    <col min="8972" max="8972" width="1.140625" style="21" customWidth="1"/>
    <col min="8973" max="8973" width="17.28515625" style="21" customWidth="1"/>
    <col min="8974" max="8974" width="11.85546875" style="21" customWidth="1"/>
    <col min="8975" max="8975" width="19.85546875" style="21" customWidth="1"/>
    <col min="8976" max="8976" width="12.5703125" style="21" customWidth="1"/>
    <col min="8977" max="8977" width="11.5703125" style="21"/>
    <col min="8978" max="8978" width="8.85546875" style="21" customWidth="1"/>
    <col min="8979" max="8979" width="10.28515625" style="21" customWidth="1"/>
    <col min="8980" max="8980" width="10" style="21" customWidth="1"/>
    <col min="8981" max="8981" width="8.140625" style="21" customWidth="1"/>
    <col min="8982" max="8989" width="10.7109375" style="21" customWidth="1"/>
    <col min="8990" max="8990" width="8.42578125" style="21" customWidth="1"/>
    <col min="8991" max="8991" width="10" style="21" customWidth="1"/>
    <col min="8992" max="8992" width="7.28515625" style="21" customWidth="1"/>
    <col min="8993" max="8993" width="9.42578125" style="21" customWidth="1"/>
    <col min="8994" max="8994" width="8.7109375" style="21" customWidth="1"/>
    <col min="8995" max="8995" width="17.140625" style="21" customWidth="1"/>
    <col min="8996" max="8996" width="26.28515625" style="21" customWidth="1"/>
    <col min="8997" max="9220" width="11.5703125" style="21"/>
    <col min="9221" max="9221" width="7.28515625" style="21" customWidth="1"/>
    <col min="9222" max="9222" width="14.85546875" style="21" customWidth="1"/>
    <col min="9223" max="9223" width="13.5703125" style="21" customWidth="1"/>
    <col min="9224" max="9224" width="3.140625" style="21" customWidth="1"/>
    <col min="9225" max="9226" width="4.85546875" style="21" customWidth="1"/>
    <col min="9227" max="9227" width="12.5703125" style="21" customWidth="1"/>
    <col min="9228" max="9228" width="1.140625" style="21" customWidth="1"/>
    <col min="9229" max="9229" width="17.28515625" style="21" customWidth="1"/>
    <col min="9230" max="9230" width="11.85546875" style="21" customWidth="1"/>
    <col min="9231" max="9231" width="19.85546875" style="21" customWidth="1"/>
    <col min="9232" max="9232" width="12.5703125" style="21" customWidth="1"/>
    <col min="9233" max="9233" width="11.5703125" style="21"/>
    <col min="9234" max="9234" width="8.85546875" style="21" customWidth="1"/>
    <col min="9235" max="9235" width="10.28515625" style="21" customWidth="1"/>
    <col min="9236" max="9236" width="10" style="21" customWidth="1"/>
    <col min="9237" max="9237" width="8.140625" style="21" customWidth="1"/>
    <col min="9238" max="9245" width="10.7109375" style="21" customWidth="1"/>
    <col min="9246" max="9246" width="8.42578125" style="21" customWidth="1"/>
    <col min="9247" max="9247" width="10" style="21" customWidth="1"/>
    <col min="9248" max="9248" width="7.28515625" style="21" customWidth="1"/>
    <col min="9249" max="9249" width="9.42578125" style="21" customWidth="1"/>
    <col min="9250" max="9250" width="8.7109375" style="21" customWidth="1"/>
    <col min="9251" max="9251" width="17.140625" style="21" customWidth="1"/>
    <col min="9252" max="9252" width="26.28515625" style="21" customWidth="1"/>
    <col min="9253" max="9476" width="11.5703125" style="21"/>
    <col min="9477" max="9477" width="7.28515625" style="21" customWidth="1"/>
    <col min="9478" max="9478" width="14.85546875" style="21" customWidth="1"/>
    <col min="9479" max="9479" width="13.5703125" style="21" customWidth="1"/>
    <col min="9480" max="9480" width="3.140625" style="21" customWidth="1"/>
    <col min="9481" max="9482" width="4.85546875" style="21" customWidth="1"/>
    <col min="9483" max="9483" width="12.5703125" style="21" customWidth="1"/>
    <col min="9484" max="9484" width="1.140625" style="21" customWidth="1"/>
    <col min="9485" max="9485" width="17.28515625" style="21" customWidth="1"/>
    <col min="9486" max="9486" width="11.85546875" style="21" customWidth="1"/>
    <col min="9487" max="9487" width="19.85546875" style="21" customWidth="1"/>
    <col min="9488" max="9488" width="12.5703125" style="21" customWidth="1"/>
    <col min="9489" max="9489" width="11.5703125" style="21"/>
    <col min="9490" max="9490" width="8.85546875" style="21" customWidth="1"/>
    <col min="9491" max="9491" width="10.28515625" style="21" customWidth="1"/>
    <col min="9492" max="9492" width="10" style="21" customWidth="1"/>
    <col min="9493" max="9493" width="8.140625" style="21" customWidth="1"/>
    <col min="9494" max="9501" width="10.7109375" style="21" customWidth="1"/>
    <col min="9502" max="9502" width="8.42578125" style="21" customWidth="1"/>
    <col min="9503" max="9503" width="10" style="21" customWidth="1"/>
    <col min="9504" max="9504" width="7.28515625" style="21" customWidth="1"/>
    <col min="9505" max="9505" width="9.42578125" style="21" customWidth="1"/>
    <col min="9506" max="9506" width="8.7109375" style="21" customWidth="1"/>
    <col min="9507" max="9507" width="17.140625" style="21" customWidth="1"/>
    <col min="9508" max="9508" width="26.28515625" style="21" customWidth="1"/>
    <col min="9509" max="9732" width="11.5703125" style="21"/>
    <col min="9733" max="9733" width="7.28515625" style="21" customWidth="1"/>
    <col min="9734" max="9734" width="14.85546875" style="21" customWidth="1"/>
    <col min="9735" max="9735" width="13.5703125" style="21" customWidth="1"/>
    <col min="9736" max="9736" width="3.140625" style="21" customWidth="1"/>
    <col min="9737" max="9738" width="4.85546875" style="21" customWidth="1"/>
    <col min="9739" max="9739" width="12.5703125" style="21" customWidth="1"/>
    <col min="9740" max="9740" width="1.140625" style="21" customWidth="1"/>
    <col min="9741" max="9741" width="17.28515625" style="21" customWidth="1"/>
    <col min="9742" max="9742" width="11.85546875" style="21" customWidth="1"/>
    <col min="9743" max="9743" width="19.85546875" style="21" customWidth="1"/>
    <col min="9744" max="9744" width="12.5703125" style="21" customWidth="1"/>
    <col min="9745" max="9745" width="11.5703125" style="21"/>
    <col min="9746" max="9746" width="8.85546875" style="21" customWidth="1"/>
    <col min="9747" max="9747" width="10.28515625" style="21" customWidth="1"/>
    <col min="9748" max="9748" width="10" style="21" customWidth="1"/>
    <col min="9749" max="9749" width="8.140625" style="21" customWidth="1"/>
    <col min="9750" max="9757" width="10.7109375" style="21" customWidth="1"/>
    <col min="9758" max="9758" width="8.42578125" style="21" customWidth="1"/>
    <col min="9759" max="9759" width="10" style="21" customWidth="1"/>
    <col min="9760" max="9760" width="7.28515625" style="21" customWidth="1"/>
    <col min="9761" max="9761" width="9.42578125" style="21" customWidth="1"/>
    <col min="9762" max="9762" width="8.7109375" style="21" customWidth="1"/>
    <col min="9763" max="9763" width="17.140625" style="21" customWidth="1"/>
    <col min="9764" max="9764" width="26.28515625" style="21" customWidth="1"/>
    <col min="9765" max="9988" width="11.5703125" style="21"/>
    <col min="9989" max="9989" width="7.28515625" style="21" customWidth="1"/>
    <col min="9990" max="9990" width="14.85546875" style="21" customWidth="1"/>
    <col min="9991" max="9991" width="13.5703125" style="21" customWidth="1"/>
    <col min="9992" max="9992" width="3.140625" style="21" customWidth="1"/>
    <col min="9993" max="9994" width="4.85546875" style="21" customWidth="1"/>
    <col min="9995" max="9995" width="12.5703125" style="21" customWidth="1"/>
    <col min="9996" max="9996" width="1.140625" style="21" customWidth="1"/>
    <col min="9997" max="9997" width="17.28515625" style="21" customWidth="1"/>
    <col min="9998" max="9998" width="11.85546875" style="21" customWidth="1"/>
    <col min="9999" max="9999" width="19.85546875" style="21" customWidth="1"/>
    <col min="10000" max="10000" width="12.5703125" style="21" customWidth="1"/>
    <col min="10001" max="10001" width="11.5703125" style="21"/>
    <col min="10002" max="10002" width="8.85546875" style="21" customWidth="1"/>
    <col min="10003" max="10003" width="10.28515625" style="21" customWidth="1"/>
    <col min="10004" max="10004" width="10" style="21" customWidth="1"/>
    <col min="10005" max="10005" width="8.140625" style="21" customWidth="1"/>
    <col min="10006" max="10013" width="10.7109375" style="21" customWidth="1"/>
    <col min="10014" max="10014" width="8.42578125" style="21" customWidth="1"/>
    <col min="10015" max="10015" width="10" style="21" customWidth="1"/>
    <col min="10016" max="10016" width="7.28515625" style="21" customWidth="1"/>
    <col min="10017" max="10017" width="9.42578125" style="21" customWidth="1"/>
    <col min="10018" max="10018" width="8.7109375" style="21" customWidth="1"/>
    <col min="10019" max="10019" width="17.140625" style="21" customWidth="1"/>
    <col min="10020" max="10020" width="26.28515625" style="21" customWidth="1"/>
    <col min="10021" max="10244" width="11.5703125" style="21"/>
    <col min="10245" max="10245" width="7.28515625" style="21" customWidth="1"/>
    <col min="10246" max="10246" width="14.85546875" style="21" customWidth="1"/>
    <col min="10247" max="10247" width="13.5703125" style="21" customWidth="1"/>
    <col min="10248" max="10248" width="3.140625" style="21" customWidth="1"/>
    <col min="10249" max="10250" width="4.85546875" style="21" customWidth="1"/>
    <col min="10251" max="10251" width="12.5703125" style="21" customWidth="1"/>
    <col min="10252" max="10252" width="1.140625" style="21" customWidth="1"/>
    <col min="10253" max="10253" width="17.28515625" style="21" customWidth="1"/>
    <col min="10254" max="10254" width="11.85546875" style="21" customWidth="1"/>
    <col min="10255" max="10255" width="19.85546875" style="21" customWidth="1"/>
    <col min="10256" max="10256" width="12.5703125" style="21" customWidth="1"/>
    <col min="10257" max="10257" width="11.5703125" style="21"/>
    <col min="10258" max="10258" width="8.85546875" style="21" customWidth="1"/>
    <col min="10259" max="10259" width="10.28515625" style="21" customWidth="1"/>
    <col min="10260" max="10260" width="10" style="21" customWidth="1"/>
    <col min="10261" max="10261" width="8.140625" style="21" customWidth="1"/>
    <col min="10262" max="10269" width="10.7109375" style="21" customWidth="1"/>
    <col min="10270" max="10270" width="8.42578125" style="21" customWidth="1"/>
    <col min="10271" max="10271" width="10" style="21" customWidth="1"/>
    <col min="10272" max="10272" width="7.28515625" style="21" customWidth="1"/>
    <col min="10273" max="10273" width="9.42578125" style="21" customWidth="1"/>
    <col min="10274" max="10274" width="8.7109375" style="21" customWidth="1"/>
    <col min="10275" max="10275" width="17.140625" style="21" customWidth="1"/>
    <col min="10276" max="10276" width="26.28515625" style="21" customWidth="1"/>
    <col min="10277" max="10500" width="11.5703125" style="21"/>
    <col min="10501" max="10501" width="7.28515625" style="21" customWidth="1"/>
    <col min="10502" max="10502" width="14.85546875" style="21" customWidth="1"/>
    <col min="10503" max="10503" width="13.5703125" style="21" customWidth="1"/>
    <col min="10504" max="10504" width="3.140625" style="21" customWidth="1"/>
    <col min="10505" max="10506" width="4.85546875" style="21" customWidth="1"/>
    <col min="10507" max="10507" width="12.5703125" style="21" customWidth="1"/>
    <col min="10508" max="10508" width="1.140625" style="21" customWidth="1"/>
    <col min="10509" max="10509" width="17.28515625" style="21" customWidth="1"/>
    <col min="10510" max="10510" width="11.85546875" style="21" customWidth="1"/>
    <col min="10511" max="10511" width="19.85546875" style="21" customWidth="1"/>
    <col min="10512" max="10512" width="12.5703125" style="21" customWidth="1"/>
    <col min="10513" max="10513" width="11.5703125" style="21"/>
    <col min="10514" max="10514" width="8.85546875" style="21" customWidth="1"/>
    <col min="10515" max="10515" width="10.28515625" style="21" customWidth="1"/>
    <col min="10516" max="10516" width="10" style="21" customWidth="1"/>
    <col min="10517" max="10517" width="8.140625" style="21" customWidth="1"/>
    <col min="10518" max="10525" width="10.7109375" style="21" customWidth="1"/>
    <col min="10526" max="10526" width="8.42578125" style="21" customWidth="1"/>
    <col min="10527" max="10527" width="10" style="21" customWidth="1"/>
    <col min="10528" max="10528" width="7.28515625" style="21" customWidth="1"/>
    <col min="10529" max="10529" width="9.42578125" style="21" customWidth="1"/>
    <col min="10530" max="10530" width="8.7109375" style="21" customWidth="1"/>
    <col min="10531" max="10531" width="17.140625" style="21" customWidth="1"/>
    <col min="10532" max="10532" width="26.28515625" style="21" customWidth="1"/>
    <col min="10533" max="10756" width="11.5703125" style="21"/>
    <col min="10757" max="10757" width="7.28515625" style="21" customWidth="1"/>
    <col min="10758" max="10758" width="14.85546875" style="21" customWidth="1"/>
    <col min="10759" max="10759" width="13.5703125" style="21" customWidth="1"/>
    <col min="10760" max="10760" width="3.140625" style="21" customWidth="1"/>
    <col min="10761" max="10762" width="4.85546875" style="21" customWidth="1"/>
    <col min="10763" max="10763" width="12.5703125" style="21" customWidth="1"/>
    <col min="10764" max="10764" width="1.140625" style="21" customWidth="1"/>
    <col min="10765" max="10765" width="17.28515625" style="21" customWidth="1"/>
    <col min="10766" max="10766" width="11.85546875" style="21" customWidth="1"/>
    <col min="10767" max="10767" width="19.85546875" style="21" customWidth="1"/>
    <col min="10768" max="10768" width="12.5703125" style="21" customWidth="1"/>
    <col min="10769" max="10769" width="11.5703125" style="21"/>
    <col min="10770" max="10770" width="8.85546875" style="21" customWidth="1"/>
    <col min="10771" max="10771" width="10.28515625" style="21" customWidth="1"/>
    <col min="10772" max="10772" width="10" style="21" customWidth="1"/>
    <col min="10773" max="10773" width="8.140625" style="21" customWidth="1"/>
    <col min="10774" max="10781" width="10.7109375" style="21" customWidth="1"/>
    <col min="10782" max="10782" width="8.42578125" style="21" customWidth="1"/>
    <col min="10783" max="10783" width="10" style="21" customWidth="1"/>
    <col min="10784" max="10784" width="7.28515625" style="21" customWidth="1"/>
    <col min="10785" max="10785" width="9.42578125" style="21" customWidth="1"/>
    <col min="10786" max="10786" width="8.7109375" style="21" customWidth="1"/>
    <col min="10787" max="10787" width="17.140625" style="21" customWidth="1"/>
    <col min="10788" max="10788" width="26.28515625" style="21" customWidth="1"/>
    <col min="10789" max="11012" width="11.5703125" style="21"/>
    <col min="11013" max="11013" width="7.28515625" style="21" customWidth="1"/>
    <col min="11014" max="11014" width="14.85546875" style="21" customWidth="1"/>
    <col min="11015" max="11015" width="13.5703125" style="21" customWidth="1"/>
    <col min="11016" max="11016" width="3.140625" style="21" customWidth="1"/>
    <col min="11017" max="11018" width="4.85546875" style="21" customWidth="1"/>
    <col min="11019" max="11019" width="12.5703125" style="21" customWidth="1"/>
    <col min="11020" max="11020" width="1.140625" style="21" customWidth="1"/>
    <col min="11021" max="11021" width="17.28515625" style="21" customWidth="1"/>
    <col min="11022" max="11022" width="11.85546875" style="21" customWidth="1"/>
    <col min="11023" max="11023" width="19.85546875" style="21" customWidth="1"/>
    <col min="11024" max="11024" width="12.5703125" style="21" customWidth="1"/>
    <col min="11025" max="11025" width="11.5703125" style="21"/>
    <col min="11026" max="11026" width="8.85546875" style="21" customWidth="1"/>
    <col min="11027" max="11027" width="10.28515625" style="21" customWidth="1"/>
    <col min="11028" max="11028" width="10" style="21" customWidth="1"/>
    <col min="11029" max="11029" width="8.140625" style="21" customWidth="1"/>
    <col min="11030" max="11037" width="10.7109375" style="21" customWidth="1"/>
    <col min="11038" max="11038" width="8.42578125" style="21" customWidth="1"/>
    <col min="11039" max="11039" width="10" style="21" customWidth="1"/>
    <col min="11040" max="11040" width="7.28515625" style="21" customWidth="1"/>
    <col min="11041" max="11041" width="9.42578125" style="21" customWidth="1"/>
    <col min="11042" max="11042" width="8.7109375" style="21" customWidth="1"/>
    <col min="11043" max="11043" width="17.140625" style="21" customWidth="1"/>
    <col min="11044" max="11044" width="26.28515625" style="21" customWidth="1"/>
    <col min="11045" max="11268" width="11.5703125" style="21"/>
    <col min="11269" max="11269" width="7.28515625" style="21" customWidth="1"/>
    <col min="11270" max="11270" width="14.85546875" style="21" customWidth="1"/>
    <col min="11271" max="11271" width="13.5703125" style="21" customWidth="1"/>
    <col min="11272" max="11272" width="3.140625" style="21" customWidth="1"/>
    <col min="11273" max="11274" width="4.85546875" style="21" customWidth="1"/>
    <col min="11275" max="11275" width="12.5703125" style="21" customWidth="1"/>
    <col min="11276" max="11276" width="1.140625" style="21" customWidth="1"/>
    <col min="11277" max="11277" width="17.28515625" style="21" customWidth="1"/>
    <col min="11278" max="11278" width="11.85546875" style="21" customWidth="1"/>
    <col min="11279" max="11279" width="19.85546875" style="21" customWidth="1"/>
    <col min="11280" max="11280" width="12.5703125" style="21" customWidth="1"/>
    <col min="11281" max="11281" width="11.5703125" style="21"/>
    <col min="11282" max="11282" width="8.85546875" style="21" customWidth="1"/>
    <col min="11283" max="11283" width="10.28515625" style="21" customWidth="1"/>
    <col min="11284" max="11284" width="10" style="21" customWidth="1"/>
    <col min="11285" max="11285" width="8.140625" style="21" customWidth="1"/>
    <col min="11286" max="11293" width="10.7109375" style="21" customWidth="1"/>
    <col min="11294" max="11294" width="8.42578125" style="21" customWidth="1"/>
    <col min="11295" max="11295" width="10" style="21" customWidth="1"/>
    <col min="11296" max="11296" width="7.28515625" style="21" customWidth="1"/>
    <col min="11297" max="11297" width="9.42578125" style="21" customWidth="1"/>
    <col min="11298" max="11298" width="8.7109375" style="21" customWidth="1"/>
    <col min="11299" max="11299" width="17.140625" style="21" customWidth="1"/>
    <col min="11300" max="11300" width="26.28515625" style="21" customWidth="1"/>
    <col min="11301" max="11524" width="11.5703125" style="21"/>
    <col min="11525" max="11525" width="7.28515625" style="21" customWidth="1"/>
    <col min="11526" max="11526" width="14.85546875" style="21" customWidth="1"/>
    <col min="11527" max="11527" width="13.5703125" style="21" customWidth="1"/>
    <col min="11528" max="11528" width="3.140625" style="21" customWidth="1"/>
    <col min="11529" max="11530" width="4.85546875" style="21" customWidth="1"/>
    <col min="11531" max="11531" width="12.5703125" style="21" customWidth="1"/>
    <col min="11532" max="11532" width="1.140625" style="21" customWidth="1"/>
    <col min="11533" max="11533" width="17.28515625" style="21" customWidth="1"/>
    <col min="11534" max="11534" width="11.85546875" style="21" customWidth="1"/>
    <col min="11535" max="11535" width="19.85546875" style="21" customWidth="1"/>
    <col min="11536" max="11536" width="12.5703125" style="21" customWidth="1"/>
    <col min="11537" max="11537" width="11.5703125" style="21"/>
    <col min="11538" max="11538" width="8.85546875" style="21" customWidth="1"/>
    <col min="11539" max="11539" width="10.28515625" style="21" customWidth="1"/>
    <col min="11540" max="11540" width="10" style="21" customWidth="1"/>
    <col min="11541" max="11541" width="8.140625" style="21" customWidth="1"/>
    <col min="11542" max="11549" width="10.7109375" style="21" customWidth="1"/>
    <col min="11550" max="11550" width="8.42578125" style="21" customWidth="1"/>
    <col min="11551" max="11551" width="10" style="21" customWidth="1"/>
    <col min="11552" max="11552" width="7.28515625" style="21" customWidth="1"/>
    <col min="11553" max="11553" width="9.42578125" style="21" customWidth="1"/>
    <col min="11554" max="11554" width="8.7109375" style="21" customWidth="1"/>
    <col min="11555" max="11555" width="17.140625" style="21" customWidth="1"/>
    <col min="11556" max="11556" width="26.28515625" style="21" customWidth="1"/>
    <col min="11557" max="11780" width="11.5703125" style="21"/>
    <col min="11781" max="11781" width="7.28515625" style="21" customWidth="1"/>
    <col min="11782" max="11782" width="14.85546875" style="21" customWidth="1"/>
    <col min="11783" max="11783" width="13.5703125" style="21" customWidth="1"/>
    <col min="11784" max="11784" width="3.140625" style="21" customWidth="1"/>
    <col min="11785" max="11786" width="4.85546875" style="21" customWidth="1"/>
    <col min="11787" max="11787" width="12.5703125" style="21" customWidth="1"/>
    <col min="11788" max="11788" width="1.140625" style="21" customWidth="1"/>
    <col min="11789" max="11789" width="17.28515625" style="21" customWidth="1"/>
    <col min="11790" max="11790" width="11.85546875" style="21" customWidth="1"/>
    <col min="11791" max="11791" width="19.85546875" style="21" customWidth="1"/>
    <col min="11792" max="11792" width="12.5703125" style="21" customWidth="1"/>
    <col min="11793" max="11793" width="11.5703125" style="21"/>
    <col min="11794" max="11794" width="8.85546875" style="21" customWidth="1"/>
    <col min="11795" max="11795" width="10.28515625" style="21" customWidth="1"/>
    <col min="11796" max="11796" width="10" style="21" customWidth="1"/>
    <col min="11797" max="11797" width="8.140625" style="21" customWidth="1"/>
    <col min="11798" max="11805" width="10.7109375" style="21" customWidth="1"/>
    <col min="11806" max="11806" width="8.42578125" style="21" customWidth="1"/>
    <col min="11807" max="11807" width="10" style="21" customWidth="1"/>
    <col min="11808" max="11808" width="7.28515625" style="21" customWidth="1"/>
    <col min="11809" max="11809" width="9.42578125" style="21" customWidth="1"/>
    <col min="11810" max="11810" width="8.7109375" style="21" customWidth="1"/>
    <col min="11811" max="11811" width="17.140625" style="21" customWidth="1"/>
    <col min="11812" max="11812" width="26.28515625" style="21" customWidth="1"/>
    <col min="11813" max="12036" width="11.5703125" style="21"/>
    <col min="12037" max="12037" width="7.28515625" style="21" customWidth="1"/>
    <col min="12038" max="12038" width="14.85546875" style="21" customWidth="1"/>
    <col min="12039" max="12039" width="13.5703125" style="21" customWidth="1"/>
    <col min="12040" max="12040" width="3.140625" style="21" customWidth="1"/>
    <col min="12041" max="12042" width="4.85546875" style="21" customWidth="1"/>
    <col min="12043" max="12043" width="12.5703125" style="21" customWidth="1"/>
    <col min="12044" max="12044" width="1.140625" style="21" customWidth="1"/>
    <col min="12045" max="12045" width="17.28515625" style="21" customWidth="1"/>
    <col min="12046" max="12046" width="11.85546875" style="21" customWidth="1"/>
    <col min="12047" max="12047" width="19.85546875" style="21" customWidth="1"/>
    <col min="12048" max="12048" width="12.5703125" style="21" customWidth="1"/>
    <col min="12049" max="12049" width="11.5703125" style="21"/>
    <col min="12050" max="12050" width="8.85546875" style="21" customWidth="1"/>
    <col min="12051" max="12051" width="10.28515625" style="21" customWidth="1"/>
    <col min="12052" max="12052" width="10" style="21" customWidth="1"/>
    <col min="12053" max="12053" width="8.140625" style="21" customWidth="1"/>
    <col min="12054" max="12061" width="10.7109375" style="21" customWidth="1"/>
    <col min="12062" max="12062" width="8.42578125" style="21" customWidth="1"/>
    <col min="12063" max="12063" width="10" style="21" customWidth="1"/>
    <col min="12064" max="12064" width="7.28515625" style="21" customWidth="1"/>
    <col min="12065" max="12065" width="9.42578125" style="21" customWidth="1"/>
    <col min="12066" max="12066" width="8.7109375" style="21" customWidth="1"/>
    <col min="12067" max="12067" width="17.140625" style="21" customWidth="1"/>
    <col min="12068" max="12068" width="26.28515625" style="21" customWidth="1"/>
    <col min="12069" max="12292" width="11.5703125" style="21"/>
    <col min="12293" max="12293" width="7.28515625" style="21" customWidth="1"/>
    <col min="12294" max="12294" width="14.85546875" style="21" customWidth="1"/>
    <col min="12295" max="12295" width="13.5703125" style="21" customWidth="1"/>
    <col min="12296" max="12296" width="3.140625" style="21" customWidth="1"/>
    <col min="12297" max="12298" width="4.85546875" style="21" customWidth="1"/>
    <col min="12299" max="12299" width="12.5703125" style="21" customWidth="1"/>
    <col min="12300" max="12300" width="1.140625" style="21" customWidth="1"/>
    <col min="12301" max="12301" width="17.28515625" style="21" customWidth="1"/>
    <col min="12302" max="12302" width="11.85546875" style="21" customWidth="1"/>
    <col min="12303" max="12303" width="19.85546875" style="21" customWidth="1"/>
    <col min="12304" max="12304" width="12.5703125" style="21" customWidth="1"/>
    <col min="12305" max="12305" width="11.5703125" style="21"/>
    <col min="12306" max="12306" width="8.85546875" style="21" customWidth="1"/>
    <col min="12307" max="12307" width="10.28515625" style="21" customWidth="1"/>
    <col min="12308" max="12308" width="10" style="21" customWidth="1"/>
    <col min="12309" max="12309" width="8.140625" style="21" customWidth="1"/>
    <col min="12310" max="12317" width="10.7109375" style="21" customWidth="1"/>
    <col min="12318" max="12318" width="8.42578125" style="21" customWidth="1"/>
    <col min="12319" max="12319" width="10" style="21" customWidth="1"/>
    <col min="12320" max="12320" width="7.28515625" style="21" customWidth="1"/>
    <col min="12321" max="12321" width="9.42578125" style="21" customWidth="1"/>
    <col min="12322" max="12322" width="8.7109375" style="21" customWidth="1"/>
    <col min="12323" max="12323" width="17.140625" style="21" customWidth="1"/>
    <col min="12324" max="12324" width="26.28515625" style="21" customWidth="1"/>
    <col min="12325" max="12548" width="11.5703125" style="21"/>
    <col min="12549" max="12549" width="7.28515625" style="21" customWidth="1"/>
    <col min="12550" max="12550" width="14.85546875" style="21" customWidth="1"/>
    <col min="12551" max="12551" width="13.5703125" style="21" customWidth="1"/>
    <col min="12552" max="12552" width="3.140625" style="21" customWidth="1"/>
    <col min="12553" max="12554" width="4.85546875" style="21" customWidth="1"/>
    <col min="12555" max="12555" width="12.5703125" style="21" customWidth="1"/>
    <col min="12556" max="12556" width="1.140625" style="21" customWidth="1"/>
    <col min="12557" max="12557" width="17.28515625" style="21" customWidth="1"/>
    <col min="12558" max="12558" width="11.85546875" style="21" customWidth="1"/>
    <col min="12559" max="12559" width="19.85546875" style="21" customWidth="1"/>
    <col min="12560" max="12560" width="12.5703125" style="21" customWidth="1"/>
    <col min="12561" max="12561" width="11.5703125" style="21"/>
    <col min="12562" max="12562" width="8.85546875" style="21" customWidth="1"/>
    <col min="12563" max="12563" width="10.28515625" style="21" customWidth="1"/>
    <col min="12564" max="12564" width="10" style="21" customWidth="1"/>
    <col min="12565" max="12565" width="8.140625" style="21" customWidth="1"/>
    <col min="12566" max="12573" width="10.7109375" style="21" customWidth="1"/>
    <col min="12574" max="12574" width="8.42578125" style="21" customWidth="1"/>
    <col min="12575" max="12575" width="10" style="21" customWidth="1"/>
    <col min="12576" max="12576" width="7.28515625" style="21" customWidth="1"/>
    <col min="12577" max="12577" width="9.42578125" style="21" customWidth="1"/>
    <col min="12578" max="12578" width="8.7109375" style="21" customWidth="1"/>
    <col min="12579" max="12579" width="17.140625" style="21" customWidth="1"/>
    <col min="12580" max="12580" width="26.28515625" style="21" customWidth="1"/>
    <col min="12581" max="12804" width="11.5703125" style="21"/>
    <col min="12805" max="12805" width="7.28515625" style="21" customWidth="1"/>
    <col min="12806" max="12806" width="14.85546875" style="21" customWidth="1"/>
    <col min="12807" max="12807" width="13.5703125" style="21" customWidth="1"/>
    <col min="12808" max="12808" width="3.140625" style="21" customWidth="1"/>
    <col min="12809" max="12810" width="4.85546875" style="21" customWidth="1"/>
    <col min="12811" max="12811" width="12.5703125" style="21" customWidth="1"/>
    <col min="12812" max="12812" width="1.140625" style="21" customWidth="1"/>
    <col min="12813" max="12813" width="17.28515625" style="21" customWidth="1"/>
    <col min="12814" max="12814" width="11.85546875" style="21" customWidth="1"/>
    <col min="12815" max="12815" width="19.85546875" style="21" customWidth="1"/>
    <col min="12816" max="12816" width="12.5703125" style="21" customWidth="1"/>
    <col min="12817" max="12817" width="11.5703125" style="21"/>
    <col min="12818" max="12818" width="8.85546875" style="21" customWidth="1"/>
    <col min="12819" max="12819" width="10.28515625" style="21" customWidth="1"/>
    <col min="12820" max="12820" width="10" style="21" customWidth="1"/>
    <col min="12821" max="12821" width="8.140625" style="21" customWidth="1"/>
    <col min="12822" max="12829" width="10.7109375" style="21" customWidth="1"/>
    <col min="12830" max="12830" width="8.42578125" style="21" customWidth="1"/>
    <col min="12831" max="12831" width="10" style="21" customWidth="1"/>
    <col min="12832" max="12832" width="7.28515625" style="21" customWidth="1"/>
    <col min="12833" max="12833" width="9.42578125" style="21" customWidth="1"/>
    <col min="12834" max="12834" width="8.7109375" style="21" customWidth="1"/>
    <col min="12835" max="12835" width="17.140625" style="21" customWidth="1"/>
    <col min="12836" max="12836" width="26.28515625" style="21" customWidth="1"/>
    <col min="12837" max="13060" width="11.5703125" style="21"/>
    <col min="13061" max="13061" width="7.28515625" style="21" customWidth="1"/>
    <col min="13062" max="13062" width="14.85546875" style="21" customWidth="1"/>
    <col min="13063" max="13063" width="13.5703125" style="21" customWidth="1"/>
    <col min="13064" max="13064" width="3.140625" style="21" customWidth="1"/>
    <col min="13065" max="13066" width="4.85546875" style="21" customWidth="1"/>
    <col min="13067" max="13067" width="12.5703125" style="21" customWidth="1"/>
    <col min="13068" max="13068" width="1.140625" style="21" customWidth="1"/>
    <col min="13069" max="13069" width="17.28515625" style="21" customWidth="1"/>
    <col min="13070" max="13070" width="11.85546875" style="21" customWidth="1"/>
    <col min="13071" max="13071" width="19.85546875" style="21" customWidth="1"/>
    <col min="13072" max="13072" width="12.5703125" style="21" customWidth="1"/>
    <col min="13073" max="13073" width="11.5703125" style="21"/>
    <col min="13074" max="13074" width="8.85546875" style="21" customWidth="1"/>
    <col min="13075" max="13075" width="10.28515625" style="21" customWidth="1"/>
    <col min="13076" max="13076" width="10" style="21" customWidth="1"/>
    <col min="13077" max="13077" width="8.140625" style="21" customWidth="1"/>
    <col min="13078" max="13085" width="10.7109375" style="21" customWidth="1"/>
    <col min="13086" max="13086" width="8.42578125" style="21" customWidth="1"/>
    <col min="13087" max="13087" width="10" style="21" customWidth="1"/>
    <col min="13088" max="13088" width="7.28515625" style="21" customWidth="1"/>
    <col min="13089" max="13089" width="9.42578125" style="21" customWidth="1"/>
    <col min="13090" max="13090" width="8.7109375" style="21" customWidth="1"/>
    <col min="13091" max="13091" width="17.140625" style="21" customWidth="1"/>
    <col min="13092" max="13092" width="26.28515625" style="21" customWidth="1"/>
    <col min="13093" max="13316" width="11.5703125" style="21"/>
    <col min="13317" max="13317" width="7.28515625" style="21" customWidth="1"/>
    <col min="13318" max="13318" width="14.85546875" style="21" customWidth="1"/>
    <col min="13319" max="13319" width="13.5703125" style="21" customWidth="1"/>
    <col min="13320" max="13320" width="3.140625" style="21" customWidth="1"/>
    <col min="13321" max="13322" width="4.85546875" style="21" customWidth="1"/>
    <col min="13323" max="13323" width="12.5703125" style="21" customWidth="1"/>
    <col min="13324" max="13324" width="1.140625" style="21" customWidth="1"/>
    <col min="13325" max="13325" width="17.28515625" style="21" customWidth="1"/>
    <col min="13326" max="13326" width="11.85546875" style="21" customWidth="1"/>
    <col min="13327" max="13327" width="19.85546875" style="21" customWidth="1"/>
    <col min="13328" max="13328" width="12.5703125" style="21" customWidth="1"/>
    <col min="13329" max="13329" width="11.5703125" style="21"/>
    <col min="13330" max="13330" width="8.85546875" style="21" customWidth="1"/>
    <col min="13331" max="13331" width="10.28515625" style="21" customWidth="1"/>
    <col min="13332" max="13332" width="10" style="21" customWidth="1"/>
    <col min="13333" max="13333" width="8.140625" style="21" customWidth="1"/>
    <col min="13334" max="13341" width="10.7109375" style="21" customWidth="1"/>
    <col min="13342" max="13342" width="8.42578125" style="21" customWidth="1"/>
    <col min="13343" max="13343" width="10" style="21" customWidth="1"/>
    <col min="13344" max="13344" width="7.28515625" style="21" customWidth="1"/>
    <col min="13345" max="13345" width="9.42578125" style="21" customWidth="1"/>
    <col min="13346" max="13346" width="8.7109375" style="21" customWidth="1"/>
    <col min="13347" max="13347" width="17.140625" style="21" customWidth="1"/>
    <col min="13348" max="13348" width="26.28515625" style="21" customWidth="1"/>
    <col min="13349" max="13572" width="11.5703125" style="21"/>
    <col min="13573" max="13573" width="7.28515625" style="21" customWidth="1"/>
    <col min="13574" max="13574" width="14.85546875" style="21" customWidth="1"/>
    <col min="13575" max="13575" width="13.5703125" style="21" customWidth="1"/>
    <col min="13576" max="13576" width="3.140625" style="21" customWidth="1"/>
    <col min="13577" max="13578" width="4.85546875" style="21" customWidth="1"/>
    <col min="13579" max="13579" width="12.5703125" style="21" customWidth="1"/>
    <col min="13580" max="13580" width="1.140625" style="21" customWidth="1"/>
    <col min="13581" max="13581" width="17.28515625" style="21" customWidth="1"/>
    <col min="13582" max="13582" width="11.85546875" style="21" customWidth="1"/>
    <col min="13583" max="13583" width="19.85546875" style="21" customWidth="1"/>
    <col min="13584" max="13584" width="12.5703125" style="21" customWidth="1"/>
    <col min="13585" max="13585" width="11.5703125" style="21"/>
    <col min="13586" max="13586" width="8.85546875" style="21" customWidth="1"/>
    <col min="13587" max="13587" width="10.28515625" style="21" customWidth="1"/>
    <col min="13588" max="13588" width="10" style="21" customWidth="1"/>
    <col min="13589" max="13589" width="8.140625" style="21" customWidth="1"/>
    <col min="13590" max="13597" width="10.7109375" style="21" customWidth="1"/>
    <col min="13598" max="13598" width="8.42578125" style="21" customWidth="1"/>
    <col min="13599" max="13599" width="10" style="21" customWidth="1"/>
    <col min="13600" max="13600" width="7.28515625" style="21" customWidth="1"/>
    <col min="13601" max="13601" width="9.42578125" style="21" customWidth="1"/>
    <col min="13602" max="13602" width="8.7109375" style="21" customWidth="1"/>
    <col min="13603" max="13603" width="17.140625" style="21" customWidth="1"/>
    <col min="13604" max="13604" width="26.28515625" style="21" customWidth="1"/>
    <col min="13605" max="13828" width="11.5703125" style="21"/>
    <col min="13829" max="13829" width="7.28515625" style="21" customWidth="1"/>
    <col min="13830" max="13830" width="14.85546875" style="21" customWidth="1"/>
    <col min="13831" max="13831" width="13.5703125" style="21" customWidth="1"/>
    <col min="13832" max="13832" width="3.140625" style="21" customWidth="1"/>
    <col min="13833" max="13834" width="4.85546875" style="21" customWidth="1"/>
    <col min="13835" max="13835" width="12.5703125" style="21" customWidth="1"/>
    <col min="13836" max="13836" width="1.140625" style="21" customWidth="1"/>
    <col min="13837" max="13837" width="17.28515625" style="21" customWidth="1"/>
    <col min="13838" max="13838" width="11.85546875" style="21" customWidth="1"/>
    <col min="13839" max="13839" width="19.85546875" style="21" customWidth="1"/>
    <col min="13840" max="13840" width="12.5703125" style="21" customWidth="1"/>
    <col min="13841" max="13841" width="11.5703125" style="21"/>
    <col min="13842" max="13842" width="8.85546875" style="21" customWidth="1"/>
    <col min="13843" max="13843" width="10.28515625" style="21" customWidth="1"/>
    <col min="13844" max="13844" width="10" style="21" customWidth="1"/>
    <col min="13845" max="13845" width="8.140625" style="21" customWidth="1"/>
    <col min="13846" max="13853" width="10.7109375" style="21" customWidth="1"/>
    <col min="13854" max="13854" width="8.42578125" style="21" customWidth="1"/>
    <col min="13855" max="13855" width="10" style="21" customWidth="1"/>
    <col min="13856" max="13856" width="7.28515625" style="21" customWidth="1"/>
    <col min="13857" max="13857" width="9.42578125" style="21" customWidth="1"/>
    <col min="13858" max="13858" width="8.7109375" style="21" customWidth="1"/>
    <col min="13859" max="13859" width="17.140625" style="21" customWidth="1"/>
    <col min="13860" max="13860" width="26.28515625" style="21" customWidth="1"/>
    <col min="13861" max="14084" width="11.5703125" style="21"/>
    <col min="14085" max="14085" width="7.28515625" style="21" customWidth="1"/>
    <col min="14086" max="14086" width="14.85546875" style="21" customWidth="1"/>
    <col min="14087" max="14087" width="13.5703125" style="21" customWidth="1"/>
    <col min="14088" max="14088" width="3.140625" style="21" customWidth="1"/>
    <col min="14089" max="14090" width="4.85546875" style="21" customWidth="1"/>
    <col min="14091" max="14091" width="12.5703125" style="21" customWidth="1"/>
    <col min="14092" max="14092" width="1.140625" style="21" customWidth="1"/>
    <col min="14093" max="14093" width="17.28515625" style="21" customWidth="1"/>
    <col min="14094" max="14094" width="11.85546875" style="21" customWidth="1"/>
    <col min="14095" max="14095" width="19.85546875" style="21" customWidth="1"/>
    <col min="14096" max="14096" width="12.5703125" style="21" customWidth="1"/>
    <col min="14097" max="14097" width="11.5703125" style="21"/>
    <col min="14098" max="14098" width="8.85546875" style="21" customWidth="1"/>
    <col min="14099" max="14099" width="10.28515625" style="21" customWidth="1"/>
    <col min="14100" max="14100" width="10" style="21" customWidth="1"/>
    <col min="14101" max="14101" width="8.140625" style="21" customWidth="1"/>
    <col min="14102" max="14109" width="10.7109375" style="21" customWidth="1"/>
    <col min="14110" max="14110" width="8.42578125" style="21" customWidth="1"/>
    <col min="14111" max="14111" width="10" style="21" customWidth="1"/>
    <col min="14112" max="14112" width="7.28515625" style="21" customWidth="1"/>
    <col min="14113" max="14113" width="9.42578125" style="21" customWidth="1"/>
    <col min="14114" max="14114" width="8.7109375" style="21" customWidth="1"/>
    <col min="14115" max="14115" width="17.140625" style="21" customWidth="1"/>
    <col min="14116" max="14116" width="26.28515625" style="21" customWidth="1"/>
    <col min="14117" max="14340" width="11.5703125" style="21"/>
    <col min="14341" max="14341" width="7.28515625" style="21" customWidth="1"/>
    <col min="14342" max="14342" width="14.85546875" style="21" customWidth="1"/>
    <col min="14343" max="14343" width="13.5703125" style="21" customWidth="1"/>
    <col min="14344" max="14344" width="3.140625" style="21" customWidth="1"/>
    <col min="14345" max="14346" width="4.85546875" style="21" customWidth="1"/>
    <col min="14347" max="14347" width="12.5703125" style="21" customWidth="1"/>
    <col min="14348" max="14348" width="1.140625" style="21" customWidth="1"/>
    <col min="14349" max="14349" width="17.28515625" style="21" customWidth="1"/>
    <col min="14350" max="14350" width="11.85546875" style="21" customWidth="1"/>
    <col min="14351" max="14351" width="19.85546875" style="21" customWidth="1"/>
    <col min="14352" max="14352" width="12.5703125" style="21" customWidth="1"/>
    <col min="14353" max="14353" width="11.5703125" style="21"/>
    <col min="14354" max="14354" width="8.85546875" style="21" customWidth="1"/>
    <col min="14355" max="14355" width="10.28515625" style="21" customWidth="1"/>
    <col min="14356" max="14356" width="10" style="21" customWidth="1"/>
    <col min="14357" max="14357" width="8.140625" style="21" customWidth="1"/>
    <col min="14358" max="14365" width="10.7109375" style="21" customWidth="1"/>
    <col min="14366" max="14366" width="8.42578125" style="21" customWidth="1"/>
    <col min="14367" max="14367" width="10" style="21" customWidth="1"/>
    <col min="14368" max="14368" width="7.28515625" style="21" customWidth="1"/>
    <col min="14369" max="14369" width="9.42578125" style="21" customWidth="1"/>
    <col min="14370" max="14370" width="8.7109375" style="21" customWidth="1"/>
    <col min="14371" max="14371" width="17.140625" style="21" customWidth="1"/>
    <col min="14372" max="14372" width="26.28515625" style="21" customWidth="1"/>
    <col min="14373" max="14596" width="11.5703125" style="21"/>
    <col min="14597" max="14597" width="7.28515625" style="21" customWidth="1"/>
    <col min="14598" max="14598" width="14.85546875" style="21" customWidth="1"/>
    <col min="14599" max="14599" width="13.5703125" style="21" customWidth="1"/>
    <col min="14600" max="14600" width="3.140625" style="21" customWidth="1"/>
    <col min="14601" max="14602" width="4.85546875" style="21" customWidth="1"/>
    <col min="14603" max="14603" width="12.5703125" style="21" customWidth="1"/>
    <col min="14604" max="14604" width="1.140625" style="21" customWidth="1"/>
    <col min="14605" max="14605" width="17.28515625" style="21" customWidth="1"/>
    <col min="14606" max="14606" width="11.85546875" style="21" customWidth="1"/>
    <col min="14607" max="14607" width="19.85546875" style="21" customWidth="1"/>
    <col min="14608" max="14608" width="12.5703125" style="21" customWidth="1"/>
    <col min="14609" max="14609" width="11.5703125" style="21"/>
    <col min="14610" max="14610" width="8.85546875" style="21" customWidth="1"/>
    <col min="14611" max="14611" width="10.28515625" style="21" customWidth="1"/>
    <col min="14612" max="14612" width="10" style="21" customWidth="1"/>
    <col min="14613" max="14613" width="8.140625" style="21" customWidth="1"/>
    <col min="14614" max="14621" width="10.7109375" style="21" customWidth="1"/>
    <col min="14622" max="14622" width="8.42578125" style="21" customWidth="1"/>
    <col min="14623" max="14623" width="10" style="21" customWidth="1"/>
    <col min="14624" max="14624" width="7.28515625" style="21" customWidth="1"/>
    <col min="14625" max="14625" width="9.42578125" style="21" customWidth="1"/>
    <col min="14626" max="14626" width="8.7109375" style="21" customWidth="1"/>
    <col min="14627" max="14627" width="17.140625" style="21" customWidth="1"/>
    <col min="14628" max="14628" width="26.28515625" style="21" customWidth="1"/>
    <col min="14629" max="14852" width="11.5703125" style="21"/>
    <col min="14853" max="14853" width="7.28515625" style="21" customWidth="1"/>
    <col min="14854" max="14854" width="14.85546875" style="21" customWidth="1"/>
    <col min="14855" max="14855" width="13.5703125" style="21" customWidth="1"/>
    <col min="14856" max="14856" width="3.140625" style="21" customWidth="1"/>
    <col min="14857" max="14858" width="4.85546875" style="21" customWidth="1"/>
    <col min="14859" max="14859" width="12.5703125" style="21" customWidth="1"/>
    <col min="14860" max="14860" width="1.140625" style="21" customWidth="1"/>
    <col min="14861" max="14861" width="17.28515625" style="21" customWidth="1"/>
    <col min="14862" max="14862" width="11.85546875" style="21" customWidth="1"/>
    <col min="14863" max="14863" width="19.85546875" style="21" customWidth="1"/>
    <col min="14864" max="14864" width="12.5703125" style="21" customWidth="1"/>
    <col min="14865" max="14865" width="11.5703125" style="21"/>
    <col min="14866" max="14866" width="8.85546875" style="21" customWidth="1"/>
    <col min="14867" max="14867" width="10.28515625" style="21" customWidth="1"/>
    <col min="14868" max="14868" width="10" style="21" customWidth="1"/>
    <col min="14869" max="14869" width="8.140625" style="21" customWidth="1"/>
    <col min="14870" max="14877" width="10.7109375" style="21" customWidth="1"/>
    <col min="14878" max="14878" width="8.42578125" style="21" customWidth="1"/>
    <col min="14879" max="14879" width="10" style="21" customWidth="1"/>
    <col min="14880" max="14880" width="7.28515625" style="21" customWidth="1"/>
    <col min="14881" max="14881" width="9.42578125" style="21" customWidth="1"/>
    <col min="14882" max="14882" width="8.7109375" style="21" customWidth="1"/>
    <col min="14883" max="14883" width="17.140625" style="21" customWidth="1"/>
    <col min="14884" max="14884" width="26.28515625" style="21" customWidth="1"/>
    <col min="14885" max="15108" width="11.5703125" style="21"/>
    <col min="15109" max="15109" width="7.28515625" style="21" customWidth="1"/>
    <col min="15110" max="15110" width="14.85546875" style="21" customWidth="1"/>
    <col min="15111" max="15111" width="13.5703125" style="21" customWidth="1"/>
    <col min="15112" max="15112" width="3.140625" style="21" customWidth="1"/>
    <col min="15113" max="15114" width="4.85546875" style="21" customWidth="1"/>
    <col min="15115" max="15115" width="12.5703125" style="21" customWidth="1"/>
    <col min="15116" max="15116" width="1.140625" style="21" customWidth="1"/>
    <col min="15117" max="15117" width="17.28515625" style="21" customWidth="1"/>
    <col min="15118" max="15118" width="11.85546875" style="21" customWidth="1"/>
    <col min="15119" max="15119" width="19.85546875" style="21" customWidth="1"/>
    <col min="15120" max="15120" width="12.5703125" style="21" customWidth="1"/>
    <col min="15121" max="15121" width="11.5703125" style="21"/>
    <col min="15122" max="15122" width="8.85546875" style="21" customWidth="1"/>
    <col min="15123" max="15123" width="10.28515625" style="21" customWidth="1"/>
    <col min="15124" max="15124" width="10" style="21" customWidth="1"/>
    <col min="15125" max="15125" width="8.140625" style="21" customWidth="1"/>
    <col min="15126" max="15133" width="10.7109375" style="21" customWidth="1"/>
    <col min="15134" max="15134" width="8.42578125" style="21" customWidth="1"/>
    <col min="15135" max="15135" width="10" style="21" customWidth="1"/>
    <col min="15136" max="15136" width="7.28515625" style="21" customWidth="1"/>
    <col min="15137" max="15137" width="9.42578125" style="21" customWidth="1"/>
    <col min="15138" max="15138" width="8.7109375" style="21" customWidth="1"/>
    <col min="15139" max="15139" width="17.140625" style="21" customWidth="1"/>
    <col min="15140" max="15140" width="26.28515625" style="21" customWidth="1"/>
    <col min="15141" max="15364" width="11.5703125" style="21"/>
    <col min="15365" max="15365" width="7.28515625" style="21" customWidth="1"/>
    <col min="15366" max="15366" width="14.85546875" style="21" customWidth="1"/>
    <col min="15367" max="15367" width="13.5703125" style="21" customWidth="1"/>
    <col min="15368" max="15368" width="3.140625" style="21" customWidth="1"/>
    <col min="15369" max="15370" width="4.85546875" style="21" customWidth="1"/>
    <col min="15371" max="15371" width="12.5703125" style="21" customWidth="1"/>
    <col min="15372" max="15372" width="1.140625" style="21" customWidth="1"/>
    <col min="15373" max="15373" width="17.28515625" style="21" customWidth="1"/>
    <col min="15374" max="15374" width="11.85546875" style="21" customWidth="1"/>
    <col min="15375" max="15375" width="19.85546875" style="21" customWidth="1"/>
    <col min="15376" max="15376" width="12.5703125" style="21" customWidth="1"/>
    <col min="15377" max="15377" width="11.5703125" style="21"/>
    <col min="15378" max="15378" width="8.85546875" style="21" customWidth="1"/>
    <col min="15379" max="15379" width="10.28515625" style="21" customWidth="1"/>
    <col min="15380" max="15380" width="10" style="21" customWidth="1"/>
    <col min="15381" max="15381" width="8.140625" style="21" customWidth="1"/>
    <col min="15382" max="15389" width="10.7109375" style="21" customWidth="1"/>
    <col min="15390" max="15390" width="8.42578125" style="21" customWidth="1"/>
    <col min="15391" max="15391" width="10" style="21" customWidth="1"/>
    <col min="15392" max="15392" width="7.28515625" style="21" customWidth="1"/>
    <col min="15393" max="15393" width="9.42578125" style="21" customWidth="1"/>
    <col min="15394" max="15394" width="8.7109375" style="21" customWidth="1"/>
    <col min="15395" max="15395" width="17.140625" style="21" customWidth="1"/>
    <col min="15396" max="15396" width="26.28515625" style="21" customWidth="1"/>
    <col min="15397" max="15620" width="11.5703125" style="21"/>
    <col min="15621" max="15621" width="7.28515625" style="21" customWidth="1"/>
    <col min="15622" max="15622" width="14.85546875" style="21" customWidth="1"/>
    <col min="15623" max="15623" width="13.5703125" style="21" customWidth="1"/>
    <col min="15624" max="15624" width="3.140625" style="21" customWidth="1"/>
    <col min="15625" max="15626" width="4.85546875" style="21" customWidth="1"/>
    <col min="15627" max="15627" width="12.5703125" style="21" customWidth="1"/>
    <col min="15628" max="15628" width="1.140625" style="21" customWidth="1"/>
    <col min="15629" max="15629" width="17.28515625" style="21" customWidth="1"/>
    <col min="15630" max="15630" width="11.85546875" style="21" customWidth="1"/>
    <col min="15631" max="15631" width="19.85546875" style="21" customWidth="1"/>
    <col min="15632" max="15632" width="12.5703125" style="21" customWidth="1"/>
    <col min="15633" max="15633" width="11.5703125" style="21"/>
    <col min="15634" max="15634" width="8.85546875" style="21" customWidth="1"/>
    <col min="15635" max="15635" width="10.28515625" style="21" customWidth="1"/>
    <col min="15636" max="15636" width="10" style="21" customWidth="1"/>
    <col min="15637" max="15637" width="8.140625" style="21" customWidth="1"/>
    <col min="15638" max="15645" width="10.7109375" style="21" customWidth="1"/>
    <col min="15646" max="15646" width="8.42578125" style="21" customWidth="1"/>
    <col min="15647" max="15647" width="10" style="21" customWidth="1"/>
    <col min="15648" max="15648" width="7.28515625" style="21" customWidth="1"/>
    <col min="15649" max="15649" width="9.42578125" style="21" customWidth="1"/>
    <col min="15650" max="15650" width="8.7109375" style="21" customWidth="1"/>
    <col min="15651" max="15651" width="17.140625" style="21" customWidth="1"/>
    <col min="15652" max="15652" width="26.28515625" style="21" customWidth="1"/>
    <col min="15653" max="15876" width="11.5703125" style="21"/>
    <col min="15877" max="15877" width="7.28515625" style="21" customWidth="1"/>
    <col min="15878" max="15878" width="14.85546875" style="21" customWidth="1"/>
    <col min="15879" max="15879" width="13.5703125" style="21" customWidth="1"/>
    <col min="15880" max="15880" width="3.140625" style="21" customWidth="1"/>
    <col min="15881" max="15882" width="4.85546875" style="21" customWidth="1"/>
    <col min="15883" max="15883" width="12.5703125" style="21" customWidth="1"/>
    <col min="15884" max="15884" width="1.140625" style="21" customWidth="1"/>
    <col min="15885" max="15885" width="17.28515625" style="21" customWidth="1"/>
    <col min="15886" max="15886" width="11.85546875" style="21" customWidth="1"/>
    <col min="15887" max="15887" width="19.85546875" style="21" customWidth="1"/>
    <col min="15888" max="15888" width="12.5703125" style="21" customWidth="1"/>
    <col min="15889" max="15889" width="11.5703125" style="21"/>
    <col min="15890" max="15890" width="8.85546875" style="21" customWidth="1"/>
    <col min="15891" max="15891" width="10.28515625" style="21" customWidth="1"/>
    <col min="15892" max="15892" width="10" style="21" customWidth="1"/>
    <col min="15893" max="15893" width="8.140625" style="21" customWidth="1"/>
    <col min="15894" max="15901" width="10.7109375" style="21" customWidth="1"/>
    <col min="15902" max="15902" width="8.42578125" style="21" customWidth="1"/>
    <col min="15903" max="15903" width="10" style="21" customWidth="1"/>
    <col min="15904" max="15904" width="7.28515625" style="21" customWidth="1"/>
    <col min="15905" max="15905" width="9.42578125" style="21" customWidth="1"/>
    <col min="15906" max="15906" width="8.7109375" style="21" customWidth="1"/>
    <col min="15907" max="15907" width="17.140625" style="21" customWidth="1"/>
    <col min="15908" max="15908" width="26.28515625" style="21" customWidth="1"/>
    <col min="15909" max="16132" width="11.5703125" style="21"/>
    <col min="16133" max="16133" width="7.28515625" style="21" customWidth="1"/>
    <col min="16134" max="16134" width="14.85546875" style="21" customWidth="1"/>
    <col min="16135" max="16135" width="13.5703125" style="21" customWidth="1"/>
    <col min="16136" max="16136" width="3.140625" style="21" customWidth="1"/>
    <col min="16137" max="16138" width="4.85546875" style="21" customWidth="1"/>
    <col min="16139" max="16139" width="12.5703125" style="21" customWidth="1"/>
    <col min="16140" max="16140" width="1.140625" style="21" customWidth="1"/>
    <col min="16141" max="16141" width="17.28515625" style="21" customWidth="1"/>
    <col min="16142" max="16142" width="11.85546875" style="21" customWidth="1"/>
    <col min="16143" max="16143" width="19.85546875" style="21" customWidth="1"/>
    <col min="16144" max="16144" width="12.5703125" style="21" customWidth="1"/>
    <col min="16145" max="16145" width="11.5703125" style="21"/>
    <col min="16146" max="16146" width="8.85546875" style="21" customWidth="1"/>
    <col min="16147" max="16147" width="10.28515625" style="21" customWidth="1"/>
    <col min="16148" max="16148" width="10" style="21" customWidth="1"/>
    <col min="16149" max="16149" width="8.140625" style="21" customWidth="1"/>
    <col min="16150" max="16157" width="10.7109375" style="21" customWidth="1"/>
    <col min="16158" max="16158" width="8.42578125" style="21" customWidth="1"/>
    <col min="16159" max="16159" width="10" style="21" customWidth="1"/>
    <col min="16160" max="16160" width="7.28515625" style="21" customWidth="1"/>
    <col min="16161" max="16161" width="9.42578125" style="21" customWidth="1"/>
    <col min="16162" max="16162" width="8.7109375" style="21" customWidth="1"/>
    <col min="16163" max="16163" width="17.140625" style="21" customWidth="1"/>
    <col min="16164" max="16164" width="26.28515625" style="21" customWidth="1"/>
    <col min="16165" max="16379" width="11.5703125" style="21"/>
    <col min="16380" max="16384" width="11.5703125" style="21" customWidth="1"/>
  </cols>
  <sheetData>
    <row r="1" spans="1:45" ht="15" x14ac:dyDescent="0.25">
      <c r="A1" s="55" t="s">
        <v>61</v>
      </c>
      <c r="B1" s="93"/>
      <c r="C1" s="93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/>
      <c r="V1"/>
      <c r="W1"/>
      <c r="X1"/>
      <c r="Y1"/>
      <c r="Z1" s="56"/>
      <c r="AA1" s="56"/>
      <c r="AB1" s="56"/>
      <c r="AC1" s="56"/>
      <c r="AD1" s="56"/>
      <c r="AE1" s="56"/>
    </row>
    <row r="2" spans="1:45" ht="15" x14ac:dyDescent="0.25">
      <c r="A2" s="55" t="s">
        <v>62</v>
      </c>
      <c r="B2" s="93"/>
      <c r="C2" s="93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/>
      <c r="V2"/>
      <c r="W2"/>
      <c r="X2"/>
      <c r="Y2"/>
      <c r="Z2" s="56"/>
      <c r="AA2" s="56"/>
      <c r="AB2" s="56"/>
      <c r="AC2" s="56"/>
      <c r="AD2" s="56"/>
      <c r="AE2" s="56"/>
    </row>
    <row r="3" spans="1:45" ht="15" x14ac:dyDescent="0.25">
      <c r="A3" s="55" t="s">
        <v>63</v>
      </c>
      <c r="B3" s="93"/>
      <c r="C3" s="93"/>
      <c r="D3" s="55"/>
      <c r="E3" s="55"/>
      <c r="F3" s="55"/>
      <c r="G3" s="55"/>
      <c r="H3" s="55"/>
      <c r="I3" s="55"/>
      <c r="J3" s="55"/>
      <c r="K3" s="55"/>
      <c r="L3" s="55"/>
      <c r="M3" s="55"/>
      <c r="N3" s="84"/>
      <c r="O3" s="55"/>
      <c r="P3" s="55"/>
      <c r="Q3" s="55"/>
      <c r="R3" s="55"/>
      <c r="S3" s="55"/>
      <c r="T3" s="55"/>
      <c r="U3"/>
      <c r="V3"/>
      <c r="W3"/>
      <c r="X3"/>
      <c r="Y3"/>
      <c r="Z3" s="56"/>
      <c r="AA3" s="56"/>
      <c r="AB3" s="56"/>
      <c r="AC3" s="56"/>
      <c r="AD3" s="56"/>
      <c r="AE3" s="56"/>
    </row>
    <row r="4" spans="1:45" ht="15" x14ac:dyDescent="0.25">
      <c r="A4" s="57"/>
      <c r="B4" s="57"/>
      <c r="C4" s="57"/>
      <c r="D4" s="56"/>
      <c r="E4" s="56"/>
      <c r="F4"/>
      <c r="G4"/>
      <c r="H4"/>
      <c r="I4"/>
      <c r="J4"/>
      <c r="K4" s="58"/>
      <c r="L4" s="58"/>
      <c r="M4" s="58"/>
      <c r="N4" s="84"/>
      <c r="O4"/>
      <c r="P4"/>
      <c r="Q4"/>
      <c r="R4"/>
      <c r="S4"/>
      <c r="T4"/>
      <c r="U4"/>
      <c r="V4"/>
      <c r="W4"/>
      <c r="X4"/>
      <c r="Y4"/>
      <c r="Z4" s="56"/>
      <c r="AA4" s="56"/>
      <c r="AB4" s="56"/>
      <c r="AC4" s="56"/>
      <c r="AD4" s="56"/>
      <c r="AE4" s="56"/>
    </row>
    <row r="5" spans="1:45" x14ac:dyDescent="0.2">
      <c r="A5" s="59" t="s">
        <v>112</v>
      </c>
      <c r="B5" s="94"/>
      <c r="C5" s="94"/>
      <c r="D5" s="59"/>
      <c r="E5" s="59"/>
      <c r="F5" s="59"/>
      <c r="G5" s="59"/>
      <c r="H5" s="59"/>
      <c r="I5" s="59"/>
      <c r="J5" s="59"/>
      <c r="K5" s="59"/>
      <c r="L5" s="59"/>
      <c r="M5" s="59"/>
      <c r="N5" s="84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59"/>
      <c r="AG5" s="23"/>
      <c r="AH5" s="23"/>
      <c r="AI5" s="23"/>
      <c r="AJ5" s="23"/>
    </row>
    <row r="6" spans="1:45" x14ac:dyDescent="0.2">
      <c r="B6" s="26"/>
      <c r="C6" s="26"/>
      <c r="D6" s="21"/>
      <c r="K6" s="21"/>
      <c r="L6" s="21"/>
      <c r="M6" s="21"/>
      <c r="N6" s="84"/>
    </row>
    <row r="7" spans="1:45" x14ac:dyDescent="0.2">
      <c r="A7" s="24" t="s">
        <v>64</v>
      </c>
      <c r="B7" s="95"/>
      <c r="C7" s="198" t="str">
        <f>VLOOKUP(I7,JURIS_,2,FALSE)</f>
        <v>JUR 14 TEPEJI</v>
      </c>
      <c r="D7" s="199"/>
      <c r="E7" s="200"/>
      <c r="F7" s="25"/>
      <c r="G7" s="24" t="s">
        <v>65</v>
      </c>
      <c r="H7" s="24"/>
      <c r="I7" s="201" t="s">
        <v>229</v>
      </c>
      <c r="J7" s="202"/>
      <c r="K7" s="203"/>
      <c r="L7" s="65"/>
      <c r="M7" s="65"/>
      <c r="N7" s="84"/>
      <c r="O7" s="26"/>
      <c r="P7" s="26"/>
      <c r="Q7" s="26"/>
      <c r="R7" s="25"/>
      <c r="S7" s="25"/>
      <c r="T7" s="25"/>
      <c r="U7" s="25"/>
      <c r="V7" s="25"/>
      <c r="W7" s="25"/>
      <c r="X7" s="25"/>
    </row>
    <row r="8" spans="1:45" x14ac:dyDescent="0.2">
      <c r="A8" s="24" t="s">
        <v>66</v>
      </c>
      <c r="B8" s="95"/>
      <c r="C8" s="204" t="s">
        <v>150</v>
      </c>
      <c r="D8" s="205"/>
      <c r="E8" s="206"/>
      <c r="F8" s="27"/>
      <c r="G8" s="24" t="s">
        <v>158</v>
      </c>
      <c r="H8" s="24"/>
      <c r="I8" s="201" t="s">
        <v>343</v>
      </c>
      <c r="J8" s="202"/>
      <c r="K8" s="203"/>
      <c r="L8" s="65"/>
      <c r="M8" s="65"/>
      <c r="N8" s="84"/>
      <c r="O8" s="26"/>
      <c r="P8" s="26"/>
      <c r="Q8" s="26"/>
      <c r="R8" s="25"/>
      <c r="S8" s="25"/>
      <c r="T8" s="25"/>
      <c r="U8" s="25"/>
      <c r="V8" s="25"/>
      <c r="W8" s="25"/>
      <c r="X8" s="25"/>
    </row>
    <row r="9" spans="1:45" x14ac:dyDescent="0.2">
      <c r="A9" s="24" t="s">
        <v>67</v>
      </c>
      <c r="B9" s="95"/>
      <c r="C9" s="108">
        <v>30</v>
      </c>
      <c r="D9" s="108">
        <v>12</v>
      </c>
      <c r="E9" s="109">
        <v>2024</v>
      </c>
      <c r="F9" s="25"/>
      <c r="G9" s="195" t="s">
        <v>68</v>
      </c>
      <c r="H9" s="196"/>
      <c r="I9" s="101">
        <v>5</v>
      </c>
      <c r="J9" s="101">
        <v>1</v>
      </c>
      <c r="K9" s="100">
        <v>2025</v>
      </c>
      <c r="L9" s="66"/>
      <c r="M9" s="66"/>
      <c r="N9" s="84"/>
      <c r="O9" s="26"/>
      <c r="P9" s="26"/>
      <c r="Q9" s="26"/>
      <c r="R9" s="60"/>
      <c r="S9" s="60"/>
      <c r="T9" s="60"/>
      <c r="U9" s="60"/>
      <c r="V9" s="60"/>
      <c r="W9" s="60"/>
      <c r="X9" s="60"/>
    </row>
    <row r="10" spans="1:45" x14ac:dyDescent="0.2">
      <c r="B10" s="26"/>
      <c r="C10" s="34" t="s">
        <v>171</v>
      </c>
      <c r="D10" s="34" t="s">
        <v>118</v>
      </c>
      <c r="E10" s="34" t="s">
        <v>119</v>
      </c>
      <c r="I10" s="34" t="s">
        <v>171</v>
      </c>
      <c r="J10" s="34" t="s">
        <v>118</v>
      </c>
      <c r="K10" s="34" t="s">
        <v>119</v>
      </c>
      <c r="L10" s="21"/>
      <c r="M10" s="21"/>
      <c r="U10" s="61" t="s">
        <v>69</v>
      </c>
      <c r="V10" s="61"/>
      <c r="W10" s="61"/>
      <c r="X10" s="61"/>
      <c r="Y10" s="61"/>
      <c r="Z10" s="61"/>
      <c r="AA10" s="61"/>
      <c r="AB10" s="61"/>
      <c r="AC10" s="61"/>
      <c r="AD10" s="61"/>
      <c r="AE10" s="61"/>
    </row>
    <row r="11" spans="1:45" x14ac:dyDescent="0.2">
      <c r="B11" s="96"/>
      <c r="C11" s="26"/>
      <c r="D11" s="28"/>
      <c r="F11" s="28"/>
      <c r="H11" s="28"/>
      <c r="J11" s="28"/>
      <c r="K11" s="21"/>
      <c r="L11" s="28"/>
      <c r="M11" s="21"/>
      <c r="O11" s="28"/>
      <c r="R11" s="28"/>
      <c r="U11" s="28"/>
      <c r="X11" s="28"/>
      <c r="AA11" s="28"/>
      <c r="AD11" s="28"/>
      <c r="AG11" s="28"/>
      <c r="AJ11" s="28"/>
      <c r="AL11" s="21"/>
    </row>
    <row r="12" spans="1:45" ht="20.25" customHeight="1" x14ac:dyDescent="0.2">
      <c r="A12" s="182" t="s">
        <v>110</v>
      </c>
      <c r="B12" s="182" t="s">
        <v>71</v>
      </c>
      <c r="C12" s="182"/>
      <c r="D12" s="182"/>
      <c r="E12" s="182" t="s">
        <v>87</v>
      </c>
      <c r="F12" s="197" t="s">
        <v>88</v>
      </c>
      <c r="G12" s="182" t="s">
        <v>72</v>
      </c>
      <c r="H12" s="182"/>
      <c r="I12" s="186" t="s">
        <v>73</v>
      </c>
      <c r="J12" s="187"/>
      <c r="K12" s="186" t="s">
        <v>74</v>
      </c>
      <c r="L12" s="187"/>
      <c r="M12" s="209"/>
      <c r="N12" s="182" t="s">
        <v>75</v>
      </c>
      <c r="O12" s="186" t="s">
        <v>76</v>
      </c>
      <c r="P12" s="187"/>
      <c r="Q12" s="209"/>
      <c r="R12" s="186" t="s">
        <v>77</v>
      </c>
      <c r="S12" s="187"/>
      <c r="T12" s="209"/>
      <c r="U12" s="182" t="s">
        <v>78</v>
      </c>
      <c r="V12" s="186" t="s">
        <v>79</v>
      </c>
      <c r="W12" s="187"/>
      <c r="X12" s="209"/>
      <c r="Y12" s="182" t="s">
        <v>80</v>
      </c>
      <c r="Z12" s="182" t="s">
        <v>81</v>
      </c>
      <c r="AA12" s="197" t="s">
        <v>82</v>
      </c>
      <c r="AB12" s="197"/>
      <c r="AC12" s="197"/>
      <c r="AD12" s="197"/>
      <c r="AE12" s="197"/>
      <c r="AF12" s="186" t="s">
        <v>83</v>
      </c>
      <c r="AG12" s="182" t="s">
        <v>84</v>
      </c>
      <c r="AH12" s="186" t="s">
        <v>151</v>
      </c>
      <c r="AI12" s="187"/>
      <c r="AJ12" s="209"/>
      <c r="AK12" s="182" t="s">
        <v>106</v>
      </c>
    </row>
    <row r="13" spans="1:45" ht="34.5" customHeight="1" x14ac:dyDescent="0.2">
      <c r="A13" s="182"/>
      <c r="B13" s="182"/>
      <c r="C13" s="182"/>
      <c r="D13" s="182"/>
      <c r="E13" s="182"/>
      <c r="F13" s="197"/>
      <c r="G13" s="182"/>
      <c r="H13" s="182"/>
      <c r="I13" s="188"/>
      <c r="J13" s="189"/>
      <c r="K13" s="79" t="s">
        <v>11</v>
      </c>
      <c r="L13" s="79" t="s">
        <v>149</v>
      </c>
      <c r="M13" s="79" t="s">
        <v>13</v>
      </c>
      <c r="N13" s="182"/>
      <c r="O13" s="79" t="s">
        <v>11</v>
      </c>
      <c r="P13" s="79" t="s">
        <v>149</v>
      </c>
      <c r="Q13" s="79" t="s">
        <v>13</v>
      </c>
      <c r="R13" s="79" t="s">
        <v>11</v>
      </c>
      <c r="S13" s="79" t="s">
        <v>149</v>
      </c>
      <c r="T13" s="79" t="s">
        <v>13</v>
      </c>
      <c r="U13" s="182"/>
      <c r="V13" s="79" t="s">
        <v>11</v>
      </c>
      <c r="W13" s="79" t="s">
        <v>149</v>
      </c>
      <c r="X13" s="79" t="s">
        <v>13</v>
      </c>
      <c r="Y13" s="182"/>
      <c r="Z13" s="182"/>
      <c r="AA13" s="118" t="s">
        <v>330</v>
      </c>
      <c r="AB13" s="117" t="s">
        <v>329</v>
      </c>
      <c r="AC13" s="118" t="s">
        <v>331</v>
      </c>
      <c r="AD13" s="116" t="s">
        <v>332</v>
      </c>
      <c r="AE13" s="117" t="s">
        <v>356</v>
      </c>
      <c r="AF13" s="188"/>
      <c r="AG13" s="182"/>
      <c r="AH13" s="79" t="s">
        <v>11</v>
      </c>
      <c r="AI13" s="79" t="s">
        <v>149</v>
      </c>
      <c r="AJ13" s="79" t="s">
        <v>13</v>
      </c>
      <c r="AK13" s="182"/>
    </row>
    <row r="14" spans="1:45" s="78" customFormat="1" ht="46.5" customHeight="1" x14ac:dyDescent="0.25">
      <c r="A14" s="69">
        <v>1</v>
      </c>
      <c r="B14" s="170" t="s">
        <v>344</v>
      </c>
      <c r="C14" s="171"/>
      <c r="D14" s="172"/>
      <c r="E14" s="69">
        <v>1</v>
      </c>
      <c r="F14" s="69" t="s">
        <v>342</v>
      </c>
      <c r="G14" s="173" t="s">
        <v>347</v>
      </c>
      <c r="H14" s="174"/>
      <c r="I14" s="173" t="s">
        <v>343</v>
      </c>
      <c r="J14" s="174"/>
      <c r="K14" s="125">
        <v>30</v>
      </c>
      <c r="L14" s="125">
        <v>12</v>
      </c>
      <c r="M14" s="126">
        <v>2024</v>
      </c>
      <c r="N14" s="127" t="s">
        <v>348</v>
      </c>
      <c r="O14" s="128">
        <v>2</v>
      </c>
      <c r="P14" s="128">
        <v>1</v>
      </c>
      <c r="Q14" s="128">
        <v>2025</v>
      </c>
      <c r="R14" s="128"/>
      <c r="S14" s="128"/>
      <c r="T14" s="128"/>
      <c r="U14" s="74"/>
      <c r="V14" s="128"/>
      <c r="W14" s="128"/>
      <c r="X14" s="128"/>
      <c r="Y14" s="69"/>
      <c r="Z14" s="69"/>
      <c r="AA14" s="115">
        <v>0</v>
      </c>
      <c r="AB14" s="115">
        <v>1</v>
      </c>
      <c r="AC14" s="115">
        <v>0</v>
      </c>
      <c r="AD14" s="115">
        <v>1</v>
      </c>
      <c r="AE14" s="115">
        <v>1</v>
      </c>
      <c r="AF14" s="115" t="s">
        <v>150</v>
      </c>
      <c r="AG14" s="124"/>
      <c r="AH14" s="120"/>
      <c r="AI14" s="120"/>
      <c r="AJ14" s="120"/>
      <c r="AK14" s="74" t="s">
        <v>122</v>
      </c>
      <c r="AO14" s="85"/>
      <c r="AQ14" s="85"/>
      <c r="AS14" s="85"/>
    </row>
    <row r="15" spans="1:45" s="78" customFormat="1" ht="48.75" customHeight="1" x14ac:dyDescent="0.25">
      <c r="A15" s="69">
        <v>2</v>
      </c>
      <c r="B15" s="183" t="s">
        <v>345</v>
      </c>
      <c r="C15" s="184"/>
      <c r="D15" s="185"/>
      <c r="E15" s="69">
        <v>10</v>
      </c>
      <c r="F15" s="69" t="s">
        <v>346</v>
      </c>
      <c r="G15" s="173" t="s">
        <v>347</v>
      </c>
      <c r="H15" s="174"/>
      <c r="I15" s="173" t="s">
        <v>343</v>
      </c>
      <c r="J15" s="174"/>
      <c r="K15" s="125">
        <v>30</v>
      </c>
      <c r="L15" s="125">
        <v>12</v>
      </c>
      <c r="M15" s="126">
        <v>2024</v>
      </c>
      <c r="N15" s="127" t="s">
        <v>349</v>
      </c>
      <c r="O15" s="128">
        <v>2</v>
      </c>
      <c r="P15" s="128">
        <v>1</v>
      </c>
      <c r="Q15" s="128">
        <v>2025</v>
      </c>
      <c r="R15" s="128"/>
      <c r="S15" s="128"/>
      <c r="T15" s="128"/>
      <c r="U15" s="74"/>
      <c r="V15" s="128"/>
      <c r="W15" s="128"/>
      <c r="X15" s="128"/>
      <c r="Y15" s="129"/>
      <c r="Z15" s="129"/>
      <c r="AA15" s="115">
        <v>0</v>
      </c>
      <c r="AB15" s="115">
        <v>1</v>
      </c>
      <c r="AC15" s="115">
        <v>1</v>
      </c>
      <c r="AD15" s="115">
        <v>0</v>
      </c>
      <c r="AE15" s="115">
        <v>1</v>
      </c>
      <c r="AF15" s="115" t="s">
        <v>150</v>
      </c>
      <c r="AG15" s="122"/>
      <c r="AH15" s="120"/>
      <c r="AI15" s="120"/>
      <c r="AJ15" s="120"/>
      <c r="AK15" s="74" t="s">
        <v>122</v>
      </c>
      <c r="AO15" s="85"/>
      <c r="AQ15" s="85"/>
      <c r="AS15" s="85"/>
    </row>
    <row r="16" spans="1:45" s="78" customFormat="1" ht="45.75" customHeight="1" x14ac:dyDescent="0.25">
      <c r="A16" s="69"/>
      <c r="B16" s="183"/>
      <c r="C16" s="184"/>
      <c r="D16" s="185"/>
      <c r="E16" s="69"/>
      <c r="F16" s="69"/>
      <c r="G16" s="173"/>
      <c r="H16" s="174"/>
      <c r="I16" s="175"/>
      <c r="J16" s="176"/>
      <c r="K16" s="125"/>
      <c r="L16" s="125"/>
      <c r="M16" s="126"/>
      <c r="N16" s="127"/>
      <c r="O16" s="128"/>
      <c r="P16" s="128"/>
      <c r="Q16" s="128"/>
      <c r="R16" s="128"/>
      <c r="S16" s="128"/>
      <c r="T16" s="128"/>
      <c r="U16" s="74"/>
      <c r="V16" s="128"/>
      <c r="W16" s="128"/>
      <c r="X16" s="128"/>
      <c r="Y16" s="69"/>
      <c r="Z16" s="69"/>
      <c r="AA16" s="115"/>
      <c r="AB16" s="115"/>
      <c r="AC16" s="115"/>
      <c r="AD16" s="115"/>
      <c r="AE16" s="115"/>
      <c r="AF16" s="115"/>
      <c r="AG16" s="122"/>
      <c r="AH16" s="120"/>
      <c r="AI16" s="120"/>
      <c r="AJ16" s="120"/>
      <c r="AK16" s="74"/>
      <c r="AO16" s="85"/>
      <c r="AQ16" s="85"/>
      <c r="AS16" s="85"/>
    </row>
    <row r="17" spans="1:47" s="78" customFormat="1" ht="47.25" customHeight="1" x14ac:dyDescent="0.25">
      <c r="A17" s="69"/>
      <c r="B17" s="183"/>
      <c r="C17" s="184"/>
      <c r="D17" s="185"/>
      <c r="E17" s="69"/>
      <c r="F17" s="69"/>
      <c r="G17" s="173"/>
      <c r="H17" s="174"/>
      <c r="I17" s="175"/>
      <c r="J17" s="176"/>
      <c r="K17" s="125"/>
      <c r="L17" s="125"/>
      <c r="M17" s="126"/>
      <c r="N17" s="127"/>
      <c r="O17" s="128"/>
      <c r="P17" s="128"/>
      <c r="Q17" s="128"/>
      <c r="R17" s="128"/>
      <c r="S17" s="128"/>
      <c r="T17" s="128"/>
      <c r="U17" s="74"/>
      <c r="V17" s="128"/>
      <c r="W17" s="128"/>
      <c r="X17" s="128"/>
      <c r="Y17" s="69"/>
      <c r="Z17" s="69"/>
      <c r="AA17" s="115"/>
      <c r="AB17" s="115"/>
      <c r="AC17" s="115"/>
      <c r="AD17" s="115"/>
      <c r="AE17" s="115"/>
      <c r="AF17" s="115"/>
      <c r="AG17" s="122"/>
      <c r="AH17" s="120"/>
      <c r="AI17" s="120"/>
      <c r="AJ17" s="120"/>
      <c r="AK17" s="74"/>
      <c r="AL17" s="78" t="str">
        <f t="shared" ref="AL17:AL77" si="0">IF(AK17="","",VLOOKUP(AK17,SEGUIMIENTOS,2,FALSE))</f>
        <v/>
      </c>
      <c r="AO17" s="85"/>
      <c r="AQ17" s="85"/>
      <c r="AS17" s="85"/>
    </row>
    <row r="18" spans="1:47" s="78" customFormat="1" ht="42.75" customHeight="1" x14ac:dyDescent="0.25">
      <c r="A18" s="115"/>
      <c r="B18" s="190"/>
      <c r="C18" s="191"/>
      <c r="D18" s="192"/>
      <c r="E18" s="115"/>
      <c r="F18" s="115"/>
      <c r="G18" s="207"/>
      <c r="H18" s="208"/>
      <c r="I18" s="179"/>
      <c r="J18" s="180"/>
      <c r="K18" s="112"/>
      <c r="L18" s="112"/>
      <c r="M18" s="113"/>
      <c r="N18" s="119"/>
      <c r="O18" s="120"/>
      <c r="P18" s="120"/>
      <c r="Q18" s="120"/>
      <c r="R18" s="120"/>
      <c r="S18" s="120"/>
      <c r="T18" s="120"/>
      <c r="U18" s="74"/>
      <c r="V18" s="120"/>
      <c r="W18" s="120"/>
      <c r="X18" s="120"/>
      <c r="Y18" s="121"/>
      <c r="Z18" s="115"/>
      <c r="AA18" s="115"/>
      <c r="AB18" s="115"/>
      <c r="AC18" s="115"/>
      <c r="AD18" s="115"/>
      <c r="AE18" s="115"/>
      <c r="AF18" s="115"/>
      <c r="AG18" s="122"/>
      <c r="AH18" s="120"/>
      <c r="AI18" s="120"/>
      <c r="AJ18" s="120"/>
      <c r="AK18" s="74"/>
      <c r="AL18" s="78" t="str">
        <f t="shared" si="0"/>
        <v/>
      </c>
      <c r="AO18" s="85"/>
      <c r="AQ18" s="85"/>
      <c r="AS18" s="85"/>
    </row>
    <row r="19" spans="1:47" s="78" customFormat="1" ht="31.5" customHeight="1" x14ac:dyDescent="0.25">
      <c r="A19" s="115"/>
      <c r="B19" s="190"/>
      <c r="C19" s="191"/>
      <c r="D19" s="192"/>
      <c r="E19" s="115"/>
      <c r="F19" s="115"/>
      <c r="G19" s="177"/>
      <c r="H19" s="178"/>
      <c r="I19" s="123"/>
      <c r="J19" s="123"/>
      <c r="K19" s="112"/>
      <c r="L19" s="112"/>
      <c r="M19" s="113"/>
      <c r="N19" s="119"/>
      <c r="O19" s="120"/>
      <c r="P19" s="120"/>
      <c r="Q19" s="120"/>
      <c r="R19" s="120"/>
      <c r="S19" s="120"/>
      <c r="T19" s="120"/>
      <c r="U19" s="115"/>
      <c r="V19" s="120"/>
      <c r="W19" s="120"/>
      <c r="X19" s="120"/>
      <c r="Y19" s="121"/>
      <c r="Z19" s="115"/>
      <c r="AA19" s="115"/>
      <c r="AB19" s="115"/>
      <c r="AC19" s="115"/>
      <c r="AD19" s="115"/>
      <c r="AE19" s="115"/>
      <c r="AF19" s="115"/>
      <c r="AG19" s="122"/>
      <c r="AH19" s="120"/>
      <c r="AI19" s="120"/>
      <c r="AJ19" s="120"/>
      <c r="AK19" s="74"/>
      <c r="AL19" s="78" t="str">
        <f t="shared" si="0"/>
        <v/>
      </c>
      <c r="AO19" s="85"/>
      <c r="AQ19" s="85"/>
      <c r="AS19" s="85"/>
    </row>
    <row r="20" spans="1:47" s="78" customFormat="1" ht="30" customHeight="1" x14ac:dyDescent="0.25">
      <c r="A20" s="115"/>
      <c r="B20" s="190"/>
      <c r="C20" s="191"/>
      <c r="D20" s="192"/>
      <c r="E20" s="115"/>
      <c r="F20" s="115"/>
      <c r="G20" s="177"/>
      <c r="H20" s="178"/>
      <c r="I20" s="123"/>
      <c r="J20" s="123"/>
      <c r="K20" s="112"/>
      <c r="L20" s="112"/>
      <c r="M20" s="113"/>
      <c r="N20" s="119"/>
      <c r="O20" s="120"/>
      <c r="P20" s="120"/>
      <c r="Q20" s="120"/>
      <c r="R20" s="70"/>
      <c r="S20" s="70"/>
      <c r="T20" s="70"/>
      <c r="U20" s="71"/>
      <c r="V20" s="70"/>
      <c r="W20" s="70"/>
      <c r="X20" s="70"/>
      <c r="Y20" s="72"/>
      <c r="Z20" s="71"/>
      <c r="AA20" s="115"/>
      <c r="AB20" s="115"/>
      <c r="AC20" s="71"/>
      <c r="AD20" s="71"/>
      <c r="AE20" s="71"/>
      <c r="AF20" s="115"/>
      <c r="AG20" s="73"/>
      <c r="AH20" s="70"/>
      <c r="AI20" s="70"/>
      <c r="AJ20" s="70"/>
      <c r="AK20" s="74"/>
      <c r="AL20" s="78" t="str">
        <f t="shared" si="0"/>
        <v/>
      </c>
      <c r="AO20" s="85"/>
      <c r="AQ20" s="85"/>
      <c r="AS20" s="85"/>
    </row>
    <row r="21" spans="1:47" s="78" customFormat="1" ht="31.5" customHeight="1" x14ac:dyDescent="0.25">
      <c r="A21" s="115"/>
      <c r="B21" s="190"/>
      <c r="C21" s="191"/>
      <c r="D21" s="192"/>
      <c r="E21" s="115"/>
      <c r="F21" s="115"/>
      <c r="G21" s="177"/>
      <c r="H21" s="178"/>
      <c r="I21" s="123"/>
      <c r="J21" s="123"/>
      <c r="K21" s="112"/>
      <c r="L21" s="112"/>
      <c r="M21" s="113"/>
      <c r="N21" s="119"/>
      <c r="O21" s="120"/>
      <c r="P21" s="120"/>
      <c r="Q21" s="120"/>
      <c r="R21" s="70"/>
      <c r="S21" s="70"/>
      <c r="T21" s="70"/>
      <c r="U21" s="71"/>
      <c r="V21" s="70"/>
      <c r="W21" s="70"/>
      <c r="X21" s="70"/>
      <c r="Y21" s="72"/>
      <c r="Z21" s="71"/>
      <c r="AA21" s="115"/>
      <c r="AB21" s="115"/>
      <c r="AC21" s="71"/>
      <c r="AD21" s="71"/>
      <c r="AE21" s="71"/>
      <c r="AF21" s="115"/>
      <c r="AG21" s="73"/>
      <c r="AH21" s="70"/>
      <c r="AI21" s="70"/>
      <c r="AJ21" s="70"/>
      <c r="AK21" s="74"/>
      <c r="AL21" s="78" t="str">
        <f t="shared" si="0"/>
        <v/>
      </c>
      <c r="AO21" s="85"/>
      <c r="AQ21" s="85"/>
      <c r="AS21" s="85"/>
    </row>
    <row r="22" spans="1:47" s="53" customFormat="1" ht="29.25" customHeight="1" x14ac:dyDescent="0.25">
      <c r="A22" s="115"/>
      <c r="B22" s="190"/>
      <c r="C22" s="191"/>
      <c r="D22" s="192"/>
      <c r="E22" s="115"/>
      <c r="F22" s="115"/>
      <c r="G22" s="177"/>
      <c r="H22" s="178"/>
      <c r="I22" s="123"/>
      <c r="J22" s="123"/>
      <c r="K22" s="112"/>
      <c r="L22" s="112"/>
      <c r="M22" s="113"/>
      <c r="N22" s="119"/>
      <c r="O22" s="120"/>
      <c r="P22" s="120"/>
      <c r="Q22" s="120"/>
      <c r="R22" s="70"/>
      <c r="S22" s="70"/>
      <c r="T22" s="70"/>
      <c r="U22" s="71"/>
      <c r="V22" s="70"/>
      <c r="W22" s="70"/>
      <c r="X22" s="70"/>
      <c r="Y22" s="75"/>
      <c r="Z22" s="76"/>
      <c r="AA22" s="115"/>
      <c r="AB22" s="115"/>
      <c r="AC22" s="71"/>
      <c r="AD22" s="71"/>
      <c r="AE22" s="71"/>
      <c r="AF22" s="115"/>
      <c r="AG22" s="73"/>
      <c r="AH22" s="70"/>
      <c r="AI22" s="70"/>
      <c r="AJ22" s="70"/>
      <c r="AK22" s="74"/>
      <c r="AL22" s="78" t="str">
        <f t="shared" si="0"/>
        <v/>
      </c>
      <c r="AO22" s="85"/>
      <c r="AQ22" s="85"/>
      <c r="AS22" s="85"/>
      <c r="AU22" s="78"/>
    </row>
    <row r="23" spans="1:47" s="53" customFormat="1" ht="29.25" customHeight="1" x14ac:dyDescent="0.25">
      <c r="A23" s="115"/>
      <c r="B23" s="190"/>
      <c r="C23" s="191"/>
      <c r="D23" s="192"/>
      <c r="E23" s="115"/>
      <c r="F23" s="115"/>
      <c r="G23" s="177"/>
      <c r="H23" s="178"/>
      <c r="I23" s="123"/>
      <c r="J23" s="123"/>
      <c r="K23" s="112"/>
      <c r="L23" s="112"/>
      <c r="M23" s="113"/>
      <c r="N23" s="119"/>
      <c r="O23" s="120"/>
      <c r="P23" s="120"/>
      <c r="Q23" s="120"/>
      <c r="R23" s="70"/>
      <c r="S23" s="70"/>
      <c r="T23" s="70"/>
      <c r="U23" s="71"/>
      <c r="V23" s="70"/>
      <c r="W23" s="70"/>
      <c r="X23" s="70"/>
      <c r="Y23" s="75"/>
      <c r="Z23" s="76"/>
      <c r="AA23" s="115"/>
      <c r="AB23" s="115"/>
      <c r="AC23" s="71"/>
      <c r="AD23" s="71"/>
      <c r="AE23" s="71"/>
      <c r="AF23" s="115"/>
      <c r="AG23" s="73"/>
      <c r="AH23" s="70"/>
      <c r="AI23" s="70"/>
      <c r="AJ23" s="70"/>
      <c r="AK23" s="74"/>
      <c r="AL23" s="78" t="str">
        <f t="shared" si="0"/>
        <v/>
      </c>
      <c r="AO23" s="85"/>
      <c r="AQ23" s="85"/>
      <c r="AS23" s="85"/>
      <c r="AU23" s="78"/>
    </row>
    <row r="24" spans="1:47" s="53" customFormat="1" ht="29.25" customHeight="1" x14ac:dyDescent="0.25">
      <c r="A24" s="115"/>
      <c r="B24" s="190"/>
      <c r="C24" s="191"/>
      <c r="D24" s="192"/>
      <c r="E24" s="115"/>
      <c r="F24" s="115"/>
      <c r="G24" s="177"/>
      <c r="H24" s="178"/>
      <c r="I24" s="123"/>
      <c r="J24" s="123"/>
      <c r="K24" s="112"/>
      <c r="L24" s="112"/>
      <c r="M24" s="113"/>
      <c r="N24" s="119"/>
      <c r="O24" s="120"/>
      <c r="P24" s="120"/>
      <c r="Q24" s="120"/>
      <c r="R24" s="70"/>
      <c r="S24" s="70"/>
      <c r="T24" s="70"/>
      <c r="U24" s="71"/>
      <c r="V24" s="70"/>
      <c r="W24" s="70"/>
      <c r="X24" s="70"/>
      <c r="Y24" s="75"/>
      <c r="Z24" s="76"/>
      <c r="AA24" s="115"/>
      <c r="AB24" s="115"/>
      <c r="AC24" s="71"/>
      <c r="AD24" s="71"/>
      <c r="AE24" s="71"/>
      <c r="AF24" s="115"/>
      <c r="AG24" s="73"/>
      <c r="AH24" s="70"/>
      <c r="AI24" s="70"/>
      <c r="AJ24" s="70"/>
      <c r="AK24" s="74"/>
      <c r="AL24" s="78" t="str">
        <f t="shared" si="0"/>
        <v/>
      </c>
      <c r="AO24" s="85"/>
      <c r="AQ24" s="85"/>
      <c r="AS24" s="85"/>
      <c r="AU24" s="78"/>
    </row>
    <row r="25" spans="1:47" s="53" customFormat="1" ht="29.25" customHeight="1" x14ac:dyDescent="0.25">
      <c r="A25" s="115"/>
      <c r="B25" s="190"/>
      <c r="C25" s="191"/>
      <c r="D25" s="192"/>
      <c r="E25" s="115"/>
      <c r="F25" s="115"/>
      <c r="G25" s="177"/>
      <c r="H25" s="178"/>
      <c r="I25" s="123"/>
      <c r="J25" s="123"/>
      <c r="K25" s="112"/>
      <c r="L25" s="112"/>
      <c r="M25" s="113"/>
      <c r="N25" s="119"/>
      <c r="O25" s="120"/>
      <c r="P25" s="120"/>
      <c r="Q25" s="120"/>
      <c r="R25" s="70"/>
      <c r="S25" s="70"/>
      <c r="T25" s="70"/>
      <c r="U25" s="71"/>
      <c r="V25" s="70"/>
      <c r="W25" s="70"/>
      <c r="X25" s="70"/>
      <c r="Y25" s="75"/>
      <c r="Z25" s="76"/>
      <c r="AA25" s="115"/>
      <c r="AB25" s="115"/>
      <c r="AC25" s="71"/>
      <c r="AD25" s="71"/>
      <c r="AE25" s="71"/>
      <c r="AF25" s="115"/>
      <c r="AG25" s="73"/>
      <c r="AH25" s="70"/>
      <c r="AI25" s="70"/>
      <c r="AJ25" s="70"/>
      <c r="AK25" s="74"/>
      <c r="AL25" s="78" t="str">
        <f t="shared" si="0"/>
        <v/>
      </c>
      <c r="AO25" s="85"/>
      <c r="AQ25" s="85"/>
      <c r="AS25" s="85"/>
      <c r="AU25" s="78"/>
    </row>
    <row r="26" spans="1:47" s="53" customFormat="1" ht="29.25" customHeight="1" x14ac:dyDescent="0.25">
      <c r="A26" s="115"/>
      <c r="B26" s="190"/>
      <c r="C26" s="191"/>
      <c r="D26" s="192"/>
      <c r="E26" s="115"/>
      <c r="F26" s="115"/>
      <c r="G26" s="177"/>
      <c r="H26" s="178"/>
      <c r="I26" s="123"/>
      <c r="J26" s="123"/>
      <c r="K26" s="112"/>
      <c r="L26" s="112"/>
      <c r="M26" s="113"/>
      <c r="N26" s="119"/>
      <c r="O26" s="120"/>
      <c r="P26" s="120"/>
      <c r="Q26" s="120"/>
      <c r="R26" s="70"/>
      <c r="S26" s="70"/>
      <c r="T26" s="70"/>
      <c r="U26" s="71"/>
      <c r="V26" s="70"/>
      <c r="W26" s="70"/>
      <c r="X26" s="70"/>
      <c r="Y26" s="75"/>
      <c r="Z26" s="76"/>
      <c r="AA26" s="115"/>
      <c r="AB26" s="115"/>
      <c r="AC26" s="71"/>
      <c r="AD26" s="71"/>
      <c r="AE26" s="71"/>
      <c r="AF26" s="115"/>
      <c r="AG26" s="73"/>
      <c r="AH26" s="70"/>
      <c r="AI26" s="70"/>
      <c r="AJ26" s="70"/>
      <c r="AK26" s="74"/>
      <c r="AL26" s="78" t="str">
        <f t="shared" si="0"/>
        <v/>
      </c>
      <c r="AO26" s="85"/>
      <c r="AQ26" s="85"/>
      <c r="AS26" s="85"/>
      <c r="AU26" s="78"/>
    </row>
    <row r="27" spans="1:47" s="53" customFormat="1" ht="29.25" customHeight="1" x14ac:dyDescent="0.25">
      <c r="A27" s="115"/>
      <c r="B27" s="190"/>
      <c r="C27" s="191"/>
      <c r="D27" s="192"/>
      <c r="E27" s="115"/>
      <c r="F27" s="115"/>
      <c r="G27" s="177"/>
      <c r="H27" s="178"/>
      <c r="I27" s="123"/>
      <c r="J27" s="123"/>
      <c r="K27" s="112"/>
      <c r="L27" s="112"/>
      <c r="M27" s="113"/>
      <c r="N27" s="90"/>
      <c r="O27" s="70"/>
      <c r="P27" s="70"/>
      <c r="Q27" s="70"/>
      <c r="R27" s="70"/>
      <c r="S27" s="70"/>
      <c r="T27" s="70"/>
      <c r="U27" s="71"/>
      <c r="V27" s="70"/>
      <c r="W27" s="70"/>
      <c r="X27" s="70"/>
      <c r="Y27" s="75"/>
      <c r="Z27" s="76"/>
      <c r="AA27" s="115"/>
      <c r="AB27" s="115"/>
      <c r="AC27" s="71"/>
      <c r="AD27" s="71"/>
      <c r="AE27" s="71"/>
      <c r="AF27" s="115"/>
      <c r="AG27" s="73"/>
      <c r="AH27" s="70"/>
      <c r="AI27" s="70"/>
      <c r="AJ27" s="70"/>
      <c r="AK27" s="74"/>
      <c r="AL27" s="78" t="str">
        <f t="shared" si="0"/>
        <v/>
      </c>
      <c r="AO27" s="85"/>
      <c r="AQ27" s="85"/>
      <c r="AS27" s="85"/>
      <c r="AU27" s="78"/>
    </row>
    <row r="28" spans="1:47" s="53" customFormat="1" ht="29.25" customHeight="1" x14ac:dyDescent="0.25">
      <c r="A28" s="115"/>
      <c r="B28" s="190"/>
      <c r="C28" s="191"/>
      <c r="D28" s="192"/>
      <c r="E28" s="115"/>
      <c r="F28" s="115"/>
      <c r="G28" s="177"/>
      <c r="H28" s="178"/>
      <c r="I28" s="123"/>
      <c r="J28" s="123"/>
      <c r="K28" s="112"/>
      <c r="L28" s="112"/>
      <c r="M28" s="113"/>
      <c r="N28" s="90"/>
      <c r="O28" s="70"/>
      <c r="P28" s="70"/>
      <c r="Q28" s="70"/>
      <c r="R28" s="70"/>
      <c r="S28" s="70"/>
      <c r="T28" s="70"/>
      <c r="U28" s="71"/>
      <c r="V28" s="70"/>
      <c r="W28" s="70"/>
      <c r="X28" s="70"/>
      <c r="Y28" s="75"/>
      <c r="Z28" s="76"/>
      <c r="AA28" s="115"/>
      <c r="AB28" s="115"/>
      <c r="AC28" s="71"/>
      <c r="AD28" s="71"/>
      <c r="AE28" s="71"/>
      <c r="AF28" s="115"/>
      <c r="AG28" s="73"/>
      <c r="AH28" s="70"/>
      <c r="AI28" s="70"/>
      <c r="AJ28" s="70"/>
      <c r="AK28" s="74"/>
      <c r="AL28" s="78" t="str">
        <f t="shared" si="0"/>
        <v/>
      </c>
      <c r="AO28" s="85"/>
      <c r="AQ28" s="85"/>
      <c r="AS28" s="85"/>
      <c r="AU28" s="78"/>
    </row>
    <row r="29" spans="1:47" s="53" customFormat="1" ht="29.25" customHeight="1" x14ac:dyDescent="0.25">
      <c r="A29" s="115"/>
      <c r="B29" s="190"/>
      <c r="C29" s="191"/>
      <c r="D29" s="192"/>
      <c r="E29" s="115"/>
      <c r="F29" s="115"/>
      <c r="G29" s="177"/>
      <c r="H29" s="178"/>
      <c r="I29" s="123"/>
      <c r="J29" s="123"/>
      <c r="K29" s="112"/>
      <c r="L29" s="112"/>
      <c r="M29" s="113"/>
      <c r="N29" s="90"/>
      <c r="O29" s="70"/>
      <c r="P29" s="70"/>
      <c r="Q29" s="70"/>
      <c r="R29" s="70"/>
      <c r="S29" s="70"/>
      <c r="T29" s="70"/>
      <c r="U29" s="71"/>
      <c r="V29" s="70"/>
      <c r="W29" s="70"/>
      <c r="X29" s="70"/>
      <c r="Y29" s="75"/>
      <c r="Z29" s="76"/>
      <c r="AA29" s="115"/>
      <c r="AB29" s="115"/>
      <c r="AC29" s="71"/>
      <c r="AD29" s="71"/>
      <c r="AE29" s="71"/>
      <c r="AF29" s="115"/>
      <c r="AG29" s="73"/>
      <c r="AH29" s="70"/>
      <c r="AI29" s="70"/>
      <c r="AJ29" s="70"/>
      <c r="AK29" s="74"/>
      <c r="AL29" s="78" t="str">
        <f t="shared" si="0"/>
        <v/>
      </c>
      <c r="AO29" s="85"/>
      <c r="AQ29" s="85"/>
      <c r="AS29" s="85"/>
      <c r="AU29" s="78"/>
    </row>
    <row r="30" spans="1:47" s="53" customFormat="1" ht="29.25" customHeight="1" x14ac:dyDescent="0.25">
      <c r="A30" s="115"/>
      <c r="B30" s="190"/>
      <c r="C30" s="191"/>
      <c r="D30" s="192"/>
      <c r="E30" s="115"/>
      <c r="F30" s="115"/>
      <c r="G30" s="177"/>
      <c r="H30" s="178"/>
      <c r="I30" s="123"/>
      <c r="J30" s="123"/>
      <c r="K30" s="112"/>
      <c r="L30" s="112"/>
      <c r="M30" s="113"/>
      <c r="N30" s="90"/>
      <c r="O30" s="70"/>
      <c r="P30" s="70"/>
      <c r="Q30" s="70"/>
      <c r="R30" s="70"/>
      <c r="S30" s="70"/>
      <c r="T30" s="70"/>
      <c r="U30" s="71"/>
      <c r="V30" s="70"/>
      <c r="W30" s="70"/>
      <c r="X30" s="70"/>
      <c r="Y30" s="75"/>
      <c r="Z30" s="76"/>
      <c r="AA30" s="115"/>
      <c r="AB30" s="115"/>
      <c r="AC30" s="71"/>
      <c r="AD30" s="71"/>
      <c r="AE30" s="71"/>
      <c r="AF30" s="115"/>
      <c r="AG30" s="73"/>
      <c r="AH30" s="70"/>
      <c r="AI30" s="70"/>
      <c r="AJ30" s="70"/>
      <c r="AK30" s="74"/>
      <c r="AL30" s="78" t="str">
        <f t="shared" si="0"/>
        <v/>
      </c>
      <c r="AO30" s="85"/>
      <c r="AQ30" s="85"/>
      <c r="AS30" s="85"/>
      <c r="AU30" s="78"/>
    </row>
    <row r="31" spans="1:47" s="53" customFormat="1" ht="29.25" customHeight="1" x14ac:dyDescent="0.25">
      <c r="A31" s="115"/>
      <c r="B31" s="190"/>
      <c r="C31" s="191"/>
      <c r="D31" s="192"/>
      <c r="E31" s="115"/>
      <c r="F31" s="115"/>
      <c r="G31" s="177"/>
      <c r="H31" s="178"/>
      <c r="I31" s="123"/>
      <c r="J31" s="123"/>
      <c r="K31" s="112"/>
      <c r="L31" s="112"/>
      <c r="M31" s="113"/>
      <c r="N31" s="90"/>
      <c r="O31" s="70"/>
      <c r="P31" s="70"/>
      <c r="Q31" s="70"/>
      <c r="R31" s="70"/>
      <c r="S31" s="70"/>
      <c r="T31" s="70"/>
      <c r="U31" s="71"/>
      <c r="V31" s="70"/>
      <c r="W31" s="70"/>
      <c r="X31" s="70"/>
      <c r="Y31" s="75"/>
      <c r="Z31" s="76"/>
      <c r="AA31" s="115"/>
      <c r="AB31" s="115"/>
      <c r="AC31" s="71"/>
      <c r="AD31" s="71"/>
      <c r="AE31" s="71"/>
      <c r="AF31" s="115"/>
      <c r="AG31" s="73"/>
      <c r="AH31" s="70"/>
      <c r="AI31" s="70"/>
      <c r="AJ31" s="70"/>
      <c r="AK31" s="74"/>
      <c r="AL31" s="78" t="str">
        <f t="shared" si="0"/>
        <v/>
      </c>
      <c r="AO31" s="85"/>
      <c r="AQ31" s="85"/>
      <c r="AS31" s="85"/>
      <c r="AU31" s="78"/>
    </row>
    <row r="32" spans="1:47" s="53" customFormat="1" ht="29.25" customHeight="1" x14ac:dyDescent="0.25">
      <c r="A32" s="115"/>
      <c r="B32" s="190"/>
      <c r="C32" s="191"/>
      <c r="D32" s="192"/>
      <c r="E32" s="115"/>
      <c r="F32" s="115"/>
      <c r="G32" s="177"/>
      <c r="H32" s="178"/>
      <c r="I32" s="123"/>
      <c r="J32" s="123"/>
      <c r="K32" s="112"/>
      <c r="L32" s="112"/>
      <c r="M32" s="113"/>
      <c r="N32" s="90"/>
      <c r="O32" s="70"/>
      <c r="P32" s="70"/>
      <c r="Q32" s="70"/>
      <c r="R32" s="70"/>
      <c r="S32" s="70"/>
      <c r="T32" s="70"/>
      <c r="U32" s="71"/>
      <c r="V32" s="70"/>
      <c r="W32" s="70"/>
      <c r="X32" s="70"/>
      <c r="Y32" s="75"/>
      <c r="Z32" s="76"/>
      <c r="AA32" s="115"/>
      <c r="AB32" s="115"/>
      <c r="AC32" s="71"/>
      <c r="AD32" s="71"/>
      <c r="AE32" s="71"/>
      <c r="AF32" s="115"/>
      <c r="AG32" s="73"/>
      <c r="AH32" s="70"/>
      <c r="AI32" s="70"/>
      <c r="AJ32" s="70"/>
      <c r="AK32" s="74"/>
      <c r="AL32" s="78" t="str">
        <f t="shared" si="0"/>
        <v/>
      </c>
      <c r="AO32" s="85"/>
      <c r="AQ32" s="85"/>
      <c r="AS32" s="85"/>
      <c r="AU32" s="78"/>
    </row>
    <row r="33" spans="1:47" s="53" customFormat="1" ht="29.25" customHeight="1" x14ac:dyDescent="0.25">
      <c r="A33" s="115"/>
      <c r="B33" s="190"/>
      <c r="C33" s="191"/>
      <c r="D33" s="192"/>
      <c r="E33" s="115"/>
      <c r="F33" s="115"/>
      <c r="G33" s="177"/>
      <c r="H33" s="178"/>
      <c r="I33" s="123"/>
      <c r="J33" s="123"/>
      <c r="K33" s="112"/>
      <c r="L33" s="112"/>
      <c r="M33" s="113"/>
      <c r="N33" s="90"/>
      <c r="O33" s="70"/>
      <c r="P33" s="70"/>
      <c r="Q33" s="70"/>
      <c r="R33" s="70"/>
      <c r="S33" s="70"/>
      <c r="T33" s="70"/>
      <c r="U33" s="71"/>
      <c r="V33" s="70"/>
      <c r="W33" s="70"/>
      <c r="X33" s="70"/>
      <c r="Y33" s="75"/>
      <c r="Z33" s="76"/>
      <c r="AA33" s="115"/>
      <c r="AB33" s="115"/>
      <c r="AC33" s="71"/>
      <c r="AD33" s="71"/>
      <c r="AE33" s="71"/>
      <c r="AF33" s="115"/>
      <c r="AG33" s="73"/>
      <c r="AH33" s="70"/>
      <c r="AI33" s="70"/>
      <c r="AJ33" s="70"/>
      <c r="AK33" s="74"/>
      <c r="AL33" s="78" t="str">
        <f t="shared" si="0"/>
        <v/>
      </c>
      <c r="AO33" s="85"/>
      <c r="AQ33" s="85"/>
      <c r="AS33" s="85"/>
      <c r="AU33" s="78"/>
    </row>
    <row r="34" spans="1:47" s="53" customFormat="1" ht="29.25" customHeight="1" x14ac:dyDescent="0.25">
      <c r="A34" s="115"/>
      <c r="B34" s="190"/>
      <c r="C34" s="191"/>
      <c r="D34" s="192"/>
      <c r="E34" s="115"/>
      <c r="F34" s="115"/>
      <c r="G34" s="177"/>
      <c r="H34" s="178"/>
      <c r="I34" s="123"/>
      <c r="J34" s="123"/>
      <c r="K34" s="112"/>
      <c r="L34" s="112"/>
      <c r="M34" s="113"/>
      <c r="N34" s="90"/>
      <c r="O34" s="70"/>
      <c r="P34" s="70"/>
      <c r="Q34" s="70"/>
      <c r="R34" s="70"/>
      <c r="S34" s="70"/>
      <c r="T34" s="70"/>
      <c r="U34" s="71"/>
      <c r="V34" s="70"/>
      <c r="W34" s="70"/>
      <c r="X34" s="70"/>
      <c r="Y34" s="75"/>
      <c r="Z34" s="76"/>
      <c r="AA34" s="115"/>
      <c r="AB34" s="115"/>
      <c r="AC34" s="71"/>
      <c r="AD34" s="71"/>
      <c r="AE34" s="71"/>
      <c r="AF34" s="115"/>
      <c r="AG34" s="73"/>
      <c r="AH34" s="70"/>
      <c r="AI34" s="70"/>
      <c r="AJ34" s="70"/>
      <c r="AK34" s="74"/>
      <c r="AL34" s="78" t="str">
        <f t="shared" si="0"/>
        <v/>
      </c>
      <c r="AO34" s="85"/>
      <c r="AQ34" s="85"/>
      <c r="AS34" s="85"/>
      <c r="AU34" s="78"/>
    </row>
    <row r="35" spans="1:47" s="53" customFormat="1" ht="29.25" customHeight="1" x14ac:dyDescent="0.25">
      <c r="A35" s="115"/>
      <c r="B35" s="190"/>
      <c r="C35" s="191"/>
      <c r="D35" s="192"/>
      <c r="E35" s="115"/>
      <c r="F35" s="115"/>
      <c r="G35" s="177"/>
      <c r="H35" s="178"/>
      <c r="I35" s="123"/>
      <c r="J35" s="123"/>
      <c r="K35" s="112"/>
      <c r="L35" s="112"/>
      <c r="M35" s="113"/>
      <c r="N35" s="90"/>
      <c r="O35" s="70"/>
      <c r="P35" s="70"/>
      <c r="Q35" s="70"/>
      <c r="R35" s="70"/>
      <c r="S35" s="70"/>
      <c r="T35" s="70"/>
      <c r="U35" s="71"/>
      <c r="V35" s="70"/>
      <c r="W35" s="70"/>
      <c r="X35" s="70"/>
      <c r="Y35" s="75"/>
      <c r="Z35" s="76"/>
      <c r="AA35" s="115"/>
      <c r="AB35" s="115"/>
      <c r="AC35" s="71"/>
      <c r="AD35" s="71"/>
      <c r="AE35" s="71"/>
      <c r="AF35" s="115"/>
      <c r="AG35" s="73"/>
      <c r="AH35" s="70"/>
      <c r="AI35" s="70"/>
      <c r="AJ35" s="70"/>
      <c r="AK35" s="74"/>
      <c r="AL35" s="78" t="str">
        <f t="shared" si="0"/>
        <v/>
      </c>
      <c r="AO35" s="85"/>
      <c r="AQ35" s="85"/>
      <c r="AS35" s="85"/>
      <c r="AU35" s="78"/>
    </row>
    <row r="36" spans="1:47" s="53" customFormat="1" ht="29.25" customHeight="1" x14ac:dyDescent="0.25">
      <c r="A36" s="115"/>
      <c r="B36" s="190"/>
      <c r="C36" s="191"/>
      <c r="D36" s="192"/>
      <c r="E36" s="115"/>
      <c r="F36" s="115"/>
      <c r="G36" s="177"/>
      <c r="H36" s="178"/>
      <c r="I36" s="123"/>
      <c r="J36" s="123"/>
      <c r="K36" s="112"/>
      <c r="L36" s="112"/>
      <c r="M36" s="113"/>
      <c r="N36" s="90"/>
      <c r="O36" s="70"/>
      <c r="P36" s="70"/>
      <c r="Q36" s="70"/>
      <c r="R36" s="70"/>
      <c r="S36" s="70"/>
      <c r="T36" s="70"/>
      <c r="U36" s="71"/>
      <c r="V36" s="70"/>
      <c r="W36" s="70"/>
      <c r="X36" s="70"/>
      <c r="Y36" s="75"/>
      <c r="Z36" s="76"/>
      <c r="AA36" s="115"/>
      <c r="AB36" s="115"/>
      <c r="AC36" s="71"/>
      <c r="AD36" s="71"/>
      <c r="AE36" s="71"/>
      <c r="AF36" s="115"/>
      <c r="AG36" s="73"/>
      <c r="AH36" s="70"/>
      <c r="AI36" s="70"/>
      <c r="AJ36" s="70"/>
      <c r="AK36" s="74"/>
      <c r="AL36" s="78" t="str">
        <f t="shared" si="0"/>
        <v/>
      </c>
      <c r="AO36" s="85"/>
      <c r="AQ36" s="85"/>
      <c r="AS36" s="85"/>
      <c r="AU36" s="78"/>
    </row>
    <row r="37" spans="1:47" s="53" customFormat="1" ht="29.25" customHeight="1" x14ac:dyDescent="0.25">
      <c r="A37" s="115"/>
      <c r="B37" s="190"/>
      <c r="C37" s="191"/>
      <c r="D37" s="192"/>
      <c r="E37" s="69"/>
      <c r="F37" s="69"/>
      <c r="G37" s="177"/>
      <c r="H37" s="178"/>
      <c r="I37" s="123"/>
      <c r="J37" s="123"/>
      <c r="K37" s="112"/>
      <c r="L37" s="112"/>
      <c r="M37" s="113"/>
      <c r="N37" s="90"/>
      <c r="O37" s="70"/>
      <c r="P37" s="70"/>
      <c r="Q37" s="70"/>
      <c r="R37" s="70"/>
      <c r="S37" s="70"/>
      <c r="T37" s="70"/>
      <c r="U37" s="71"/>
      <c r="V37" s="70"/>
      <c r="W37" s="70"/>
      <c r="X37" s="70"/>
      <c r="Y37" s="75"/>
      <c r="Z37" s="76"/>
      <c r="AA37" s="115"/>
      <c r="AB37" s="115"/>
      <c r="AC37" s="71"/>
      <c r="AD37" s="71"/>
      <c r="AE37" s="71"/>
      <c r="AF37" s="115"/>
      <c r="AG37" s="73"/>
      <c r="AH37" s="70"/>
      <c r="AI37" s="70"/>
      <c r="AJ37" s="70"/>
      <c r="AK37" s="74"/>
      <c r="AL37" s="78" t="str">
        <f t="shared" si="0"/>
        <v/>
      </c>
      <c r="AO37" s="85"/>
      <c r="AQ37" s="85"/>
      <c r="AS37" s="85"/>
      <c r="AU37" s="78"/>
    </row>
    <row r="38" spans="1:47" s="53" customFormat="1" ht="29.25" customHeight="1" x14ac:dyDescent="0.25">
      <c r="A38" s="115"/>
      <c r="B38" s="190"/>
      <c r="C38" s="191"/>
      <c r="D38" s="192"/>
      <c r="E38" s="69"/>
      <c r="F38" s="69"/>
      <c r="G38" s="177"/>
      <c r="H38" s="178"/>
      <c r="I38" s="123"/>
      <c r="J38" s="123"/>
      <c r="K38" s="112"/>
      <c r="L38" s="112"/>
      <c r="M38" s="113"/>
      <c r="N38" s="90"/>
      <c r="O38" s="70"/>
      <c r="P38" s="70"/>
      <c r="Q38" s="70"/>
      <c r="R38" s="70"/>
      <c r="S38" s="70"/>
      <c r="T38" s="70"/>
      <c r="U38" s="71"/>
      <c r="V38" s="70"/>
      <c r="W38" s="70"/>
      <c r="X38" s="70"/>
      <c r="Y38" s="75"/>
      <c r="Z38" s="76"/>
      <c r="AA38" s="115"/>
      <c r="AB38" s="115"/>
      <c r="AC38" s="71"/>
      <c r="AD38" s="71"/>
      <c r="AE38" s="71"/>
      <c r="AF38" s="115"/>
      <c r="AG38" s="73"/>
      <c r="AH38" s="70"/>
      <c r="AI38" s="70"/>
      <c r="AJ38" s="70"/>
      <c r="AK38" s="74"/>
      <c r="AL38" s="78" t="str">
        <f t="shared" si="0"/>
        <v/>
      </c>
      <c r="AO38" s="85"/>
      <c r="AQ38" s="85"/>
      <c r="AS38" s="85"/>
      <c r="AU38" s="78"/>
    </row>
    <row r="39" spans="1:47" s="53" customFormat="1" ht="29.25" customHeight="1" x14ac:dyDescent="0.25">
      <c r="A39" s="115"/>
      <c r="B39" s="190"/>
      <c r="C39" s="191"/>
      <c r="D39" s="192"/>
      <c r="E39" s="69"/>
      <c r="F39" s="69"/>
      <c r="G39" s="177"/>
      <c r="H39" s="178"/>
      <c r="I39" s="123"/>
      <c r="J39" s="123"/>
      <c r="K39" s="112"/>
      <c r="L39" s="112"/>
      <c r="M39" s="113"/>
      <c r="N39" s="90"/>
      <c r="O39" s="70"/>
      <c r="P39" s="70"/>
      <c r="Q39" s="70"/>
      <c r="R39" s="70"/>
      <c r="S39" s="70"/>
      <c r="T39" s="70"/>
      <c r="U39" s="71"/>
      <c r="V39" s="70"/>
      <c r="W39" s="70"/>
      <c r="X39" s="70"/>
      <c r="Y39" s="75"/>
      <c r="Z39" s="76"/>
      <c r="AA39" s="115"/>
      <c r="AB39" s="115"/>
      <c r="AC39" s="71"/>
      <c r="AD39" s="71"/>
      <c r="AE39" s="71"/>
      <c r="AF39" s="115"/>
      <c r="AG39" s="73"/>
      <c r="AH39" s="70"/>
      <c r="AI39" s="70"/>
      <c r="AJ39" s="70"/>
      <c r="AK39" s="74"/>
      <c r="AL39" s="78" t="str">
        <f t="shared" si="0"/>
        <v/>
      </c>
      <c r="AO39" s="85"/>
      <c r="AQ39" s="85"/>
      <c r="AS39" s="85"/>
      <c r="AU39" s="78"/>
    </row>
    <row r="40" spans="1:47" s="53" customFormat="1" ht="29.25" customHeight="1" x14ac:dyDescent="0.25">
      <c r="A40" s="115"/>
      <c r="B40" s="190"/>
      <c r="C40" s="191"/>
      <c r="D40" s="192"/>
      <c r="E40" s="69"/>
      <c r="F40" s="69"/>
      <c r="G40" s="177"/>
      <c r="H40" s="178"/>
      <c r="I40" s="123"/>
      <c r="J40" s="123"/>
      <c r="K40" s="112"/>
      <c r="L40" s="112"/>
      <c r="M40" s="113"/>
      <c r="N40" s="90"/>
      <c r="O40" s="70"/>
      <c r="P40" s="70"/>
      <c r="Q40" s="70"/>
      <c r="R40" s="70"/>
      <c r="S40" s="70"/>
      <c r="T40" s="70"/>
      <c r="U40" s="71"/>
      <c r="V40" s="70"/>
      <c r="W40" s="70"/>
      <c r="X40" s="70"/>
      <c r="Y40" s="75"/>
      <c r="Z40" s="76"/>
      <c r="AA40" s="115"/>
      <c r="AB40" s="115"/>
      <c r="AC40" s="71"/>
      <c r="AD40" s="71"/>
      <c r="AE40" s="71"/>
      <c r="AF40" s="115"/>
      <c r="AG40" s="73"/>
      <c r="AH40" s="70"/>
      <c r="AI40" s="70"/>
      <c r="AJ40" s="70"/>
      <c r="AK40" s="74"/>
      <c r="AL40" s="78" t="str">
        <f t="shared" si="0"/>
        <v/>
      </c>
      <c r="AO40" s="85"/>
      <c r="AQ40" s="85"/>
      <c r="AS40" s="85"/>
      <c r="AU40" s="78"/>
    </row>
    <row r="41" spans="1:47" s="53" customFormat="1" ht="29.25" customHeight="1" x14ac:dyDescent="0.25">
      <c r="A41" s="115"/>
      <c r="B41" s="190"/>
      <c r="C41" s="191"/>
      <c r="D41" s="192"/>
      <c r="E41" s="69"/>
      <c r="F41" s="69"/>
      <c r="G41" s="177"/>
      <c r="H41" s="178"/>
      <c r="I41" s="123"/>
      <c r="J41" s="123"/>
      <c r="K41" s="112"/>
      <c r="L41" s="112"/>
      <c r="M41" s="113"/>
      <c r="N41" s="90"/>
      <c r="O41" s="70"/>
      <c r="P41" s="70"/>
      <c r="Q41" s="70"/>
      <c r="R41" s="70"/>
      <c r="S41" s="70"/>
      <c r="T41" s="70"/>
      <c r="U41" s="71"/>
      <c r="V41" s="70"/>
      <c r="W41" s="70"/>
      <c r="X41" s="70"/>
      <c r="Y41" s="75"/>
      <c r="Z41" s="76"/>
      <c r="AA41" s="115"/>
      <c r="AB41" s="115"/>
      <c r="AC41" s="71"/>
      <c r="AD41" s="71"/>
      <c r="AE41" s="71"/>
      <c r="AF41" s="115"/>
      <c r="AG41" s="73"/>
      <c r="AH41" s="70"/>
      <c r="AI41" s="70"/>
      <c r="AJ41" s="70"/>
      <c r="AK41" s="74"/>
      <c r="AL41" s="78" t="str">
        <f t="shared" si="0"/>
        <v/>
      </c>
      <c r="AO41" s="85"/>
      <c r="AQ41" s="85"/>
      <c r="AS41" s="85"/>
      <c r="AU41" s="78"/>
    </row>
    <row r="42" spans="1:47" s="53" customFormat="1" ht="29.25" customHeight="1" x14ac:dyDescent="0.25">
      <c r="A42" s="115"/>
      <c r="B42" s="190"/>
      <c r="C42" s="191"/>
      <c r="D42" s="192"/>
      <c r="E42" s="69"/>
      <c r="F42" s="69"/>
      <c r="G42" s="177"/>
      <c r="H42" s="178"/>
      <c r="I42" s="123"/>
      <c r="J42" s="123"/>
      <c r="K42" s="112"/>
      <c r="L42" s="112"/>
      <c r="M42" s="113"/>
      <c r="N42" s="90"/>
      <c r="O42" s="70"/>
      <c r="P42" s="70"/>
      <c r="Q42" s="70"/>
      <c r="R42" s="70"/>
      <c r="S42" s="70"/>
      <c r="T42" s="70"/>
      <c r="U42" s="71"/>
      <c r="V42" s="70"/>
      <c r="W42" s="70"/>
      <c r="X42" s="70"/>
      <c r="Y42" s="75"/>
      <c r="Z42" s="76"/>
      <c r="AA42" s="115"/>
      <c r="AB42" s="115"/>
      <c r="AC42" s="71"/>
      <c r="AD42" s="71"/>
      <c r="AE42" s="71"/>
      <c r="AF42" s="115"/>
      <c r="AG42" s="73"/>
      <c r="AH42" s="70"/>
      <c r="AI42" s="70"/>
      <c r="AJ42" s="70"/>
      <c r="AK42" s="74"/>
      <c r="AL42" s="78" t="str">
        <f t="shared" si="0"/>
        <v/>
      </c>
      <c r="AO42" s="85"/>
      <c r="AQ42" s="85"/>
      <c r="AS42" s="85"/>
      <c r="AU42" s="78"/>
    </row>
    <row r="43" spans="1:47" s="53" customFormat="1" ht="29.25" customHeight="1" x14ac:dyDescent="0.25">
      <c r="A43" s="115"/>
      <c r="B43" s="193"/>
      <c r="C43" s="194"/>
      <c r="D43" s="194"/>
      <c r="E43" s="69"/>
      <c r="F43" s="69"/>
      <c r="G43" s="177"/>
      <c r="H43" s="178"/>
      <c r="I43" s="175"/>
      <c r="J43" s="181"/>
      <c r="K43" s="112"/>
      <c r="L43" s="112"/>
      <c r="M43" s="113"/>
      <c r="N43" s="90"/>
      <c r="O43" s="70"/>
      <c r="P43" s="70"/>
      <c r="Q43" s="70"/>
      <c r="R43" s="70"/>
      <c r="S43" s="70"/>
      <c r="T43" s="70"/>
      <c r="U43" s="71"/>
      <c r="V43" s="70"/>
      <c r="W43" s="70"/>
      <c r="X43" s="70"/>
      <c r="Y43" s="75"/>
      <c r="Z43" s="76"/>
      <c r="AA43" s="71"/>
      <c r="AB43" s="71"/>
      <c r="AC43" s="71"/>
      <c r="AD43" s="71"/>
      <c r="AE43" s="71"/>
      <c r="AF43" s="71"/>
      <c r="AG43" s="73"/>
      <c r="AH43" s="70"/>
      <c r="AI43" s="70"/>
      <c r="AJ43" s="70"/>
      <c r="AK43" s="74"/>
      <c r="AL43" s="78" t="str">
        <f t="shared" si="0"/>
        <v/>
      </c>
      <c r="AO43" s="85"/>
      <c r="AQ43" s="85"/>
      <c r="AS43" s="85"/>
      <c r="AU43" s="78"/>
    </row>
    <row r="44" spans="1:47" s="53" customFormat="1" ht="29.25" customHeight="1" x14ac:dyDescent="0.25">
      <c r="A44" s="115"/>
      <c r="B44" s="193"/>
      <c r="C44" s="194"/>
      <c r="D44" s="194"/>
      <c r="E44" s="69"/>
      <c r="F44" s="69"/>
      <c r="G44" s="175"/>
      <c r="H44" s="176"/>
      <c r="I44" s="175"/>
      <c r="J44" s="181"/>
      <c r="K44" s="112"/>
      <c r="L44" s="112"/>
      <c r="M44" s="113"/>
      <c r="N44" s="90"/>
      <c r="O44" s="70"/>
      <c r="P44" s="70"/>
      <c r="Q44" s="70"/>
      <c r="R44" s="70"/>
      <c r="S44" s="70"/>
      <c r="T44" s="70"/>
      <c r="U44" s="71"/>
      <c r="V44" s="70"/>
      <c r="W44" s="70"/>
      <c r="X44" s="70"/>
      <c r="Y44" s="75"/>
      <c r="Z44" s="76"/>
      <c r="AA44" s="71"/>
      <c r="AB44" s="71"/>
      <c r="AC44" s="71"/>
      <c r="AD44" s="71"/>
      <c r="AE44" s="71"/>
      <c r="AF44" s="71"/>
      <c r="AG44" s="73"/>
      <c r="AH44" s="70"/>
      <c r="AI44" s="70"/>
      <c r="AJ44" s="70"/>
      <c r="AK44" s="74"/>
      <c r="AL44" s="78" t="str">
        <f t="shared" si="0"/>
        <v/>
      </c>
      <c r="AO44" s="85"/>
      <c r="AQ44" s="85"/>
      <c r="AS44" s="85"/>
      <c r="AU44" s="78"/>
    </row>
    <row r="45" spans="1:47" s="53" customFormat="1" ht="29.25" customHeight="1" x14ac:dyDescent="0.25">
      <c r="A45" s="115"/>
      <c r="B45" s="193"/>
      <c r="C45" s="194"/>
      <c r="D45" s="194"/>
      <c r="E45" s="69"/>
      <c r="F45" s="69"/>
      <c r="G45" s="175"/>
      <c r="H45" s="176"/>
      <c r="I45" s="175"/>
      <c r="J45" s="181"/>
      <c r="K45" s="112"/>
      <c r="L45" s="112"/>
      <c r="M45" s="113"/>
      <c r="N45" s="90"/>
      <c r="O45" s="70"/>
      <c r="P45" s="70"/>
      <c r="Q45" s="70"/>
      <c r="R45" s="70"/>
      <c r="S45" s="70"/>
      <c r="T45" s="70"/>
      <c r="U45" s="71"/>
      <c r="V45" s="70"/>
      <c r="W45" s="70"/>
      <c r="X45" s="70"/>
      <c r="Y45" s="75"/>
      <c r="Z45" s="76"/>
      <c r="AA45" s="71"/>
      <c r="AB45" s="71"/>
      <c r="AC45" s="71"/>
      <c r="AD45" s="71"/>
      <c r="AE45" s="71"/>
      <c r="AF45" s="71"/>
      <c r="AG45" s="73"/>
      <c r="AH45" s="70"/>
      <c r="AI45" s="70"/>
      <c r="AJ45" s="70"/>
      <c r="AK45" s="74"/>
      <c r="AL45" s="78" t="str">
        <f t="shared" si="0"/>
        <v/>
      </c>
      <c r="AO45" s="85"/>
      <c r="AQ45" s="85"/>
      <c r="AS45" s="85"/>
      <c r="AU45" s="78"/>
    </row>
    <row r="46" spans="1:47" s="53" customFormat="1" ht="29.25" customHeight="1" x14ac:dyDescent="0.25">
      <c r="A46" s="115"/>
      <c r="B46" s="193"/>
      <c r="C46" s="194"/>
      <c r="D46" s="194"/>
      <c r="E46" s="69"/>
      <c r="F46" s="69"/>
      <c r="G46" s="175"/>
      <c r="H46" s="176"/>
      <c r="I46" s="175"/>
      <c r="J46" s="181"/>
      <c r="K46" s="112"/>
      <c r="L46" s="112"/>
      <c r="M46" s="113"/>
      <c r="N46" s="90"/>
      <c r="O46" s="70"/>
      <c r="P46" s="70"/>
      <c r="Q46" s="70"/>
      <c r="R46" s="70"/>
      <c r="S46" s="70"/>
      <c r="T46" s="70"/>
      <c r="U46" s="71"/>
      <c r="V46" s="70"/>
      <c r="W46" s="70"/>
      <c r="X46" s="70"/>
      <c r="Y46" s="75"/>
      <c r="Z46" s="76"/>
      <c r="AA46" s="71"/>
      <c r="AB46" s="71"/>
      <c r="AC46" s="71"/>
      <c r="AD46" s="71"/>
      <c r="AE46" s="71"/>
      <c r="AF46" s="71"/>
      <c r="AG46" s="73"/>
      <c r="AH46" s="70"/>
      <c r="AI46" s="70"/>
      <c r="AJ46" s="70"/>
      <c r="AK46" s="74"/>
      <c r="AL46" s="78" t="str">
        <f t="shared" si="0"/>
        <v/>
      </c>
      <c r="AO46" s="85"/>
      <c r="AQ46" s="85"/>
      <c r="AS46" s="85"/>
      <c r="AU46" s="78"/>
    </row>
    <row r="47" spans="1:47" s="53" customFormat="1" ht="29.25" customHeight="1" x14ac:dyDescent="0.25">
      <c r="A47" s="115"/>
      <c r="B47" s="193"/>
      <c r="C47" s="194"/>
      <c r="D47" s="194"/>
      <c r="E47" s="69"/>
      <c r="F47" s="69"/>
      <c r="G47" s="175"/>
      <c r="H47" s="176"/>
      <c r="I47" s="175"/>
      <c r="J47" s="181"/>
      <c r="K47" s="112"/>
      <c r="L47" s="112"/>
      <c r="M47" s="113"/>
      <c r="N47" s="90"/>
      <c r="O47" s="70"/>
      <c r="P47" s="70"/>
      <c r="Q47" s="70"/>
      <c r="R47" s="70"/>
      <c r="S47" s="70"/>
      <c r="T47" s="70"/>
      <c r="U47" s="71"/>
      <c r="V47" s="70"/>
      <c r="W47" s="70"/>
      <c r="X47" s="70"/>
      <c r="Y47" s="75"/>
      <c r="Z47" s="76"/>
      <c r="AA47" s="71"/>
      <c r="AB47" s="71"/>
      <c r="AC47" s="71"/>
      <c r="AD47" s="71"/>
      <c r="AE47" s="71"/>
      <c r="AF47" s="71"/>
      <c r="AG47" s="73"/>
      <c r="AH47" s="70"/>
      <c r="AI47" s="70"/>
      <c r="AJ47" s="70"/>
      <c r="AK47" s="74"/>
      <c r="AL47" s="78" t="str">
        <f t="shared" si="0"/>
        <v/>
      </c>
      <c r="AO47" s="85"/>
      <c r="AQ47" s="85"/>
      <c r="AS47" s="85"/>
      <c r="AU47" s="78"/>
    </row>
    <row r="48" spans="1:47" s="53" customFormat="1" ht="29.25" customHeight="1" x14ac:dyDescent="0.25">
      <c r="A48" s="115"/>
      <c r="B48" s="193"/>
      <c r="C48" s="194"/>
      <c r="D48" s="194"/>
      <c r="E48" s="69"/>
      <c r="F48" s="69"/>
      <c r="G48" s="175"/>
      <c r="H48" s="176"/>
      <c r="I48" s="175"/>
      <c r="J48" s="181"/>
      <c r="K48" s="112"/>
      <c r="L48" s="112"/>
      <c r="M48" s="113"/>
      <c r="N48" s="90"/>
      <c r="O48" s="70"/>
      <c r="P48" s="70"/>
      <c r="Q48" s="70"/>
      <c r="R48" s="70"/>
      <c r="S48" s="70"/>
      <c r="T48" s="70"/>
      <c r="U48" s="71"/>
      <c r="V48" s="70"/>
      <c r="W48" s="70"/>
      <c r="X48" s="70"/>
      <c r="Y48" s="75"/>
      <c r="Z48" s="76"/>
      <c r="AA48" s="71"/>
      <c r="AB48" s="71"/>
      <c r="AC48" s="71"/>
      <c r="AD48" s="71"/>
      <c r="AE48" s="71"/>
      <c r="AF48" s="71"/>
      <c r="AG48" s="73"/>
      <c r="AH48" s="70"/>
      <c r="AI48" s="70"/>
      <c r="AJ48" s="70"/>
      <c r="AK48" s="74"/>
      <c r="AL48" s="78" t="str">
        <f t="shared" si="0"/>
        <v/>
      </c>
      <c r="AO48" s="85"/>
      <c r="AQ48" s="85"/>
      <c r="AS48" s="85"/>
      <c r="AU48" s="78"/>
    </row>
    <row r="49" spans="1:47" s="53" customFormat="1" ht="29.25" customHeight="1" x14ac:dyDescent="0.25">
      <c r="A49" s="115"/>
      <c r="B49" s="193"/>
      <c r="C49" s="194"/>
      <c r="D49" s="194"/>
      <c r="E49" s="69"/>
      <c r="F49" s="69"/>
      <c r="G49" s="175"/>
      <c r="H49" s="176"/>
      <c r="I49" s="175"/>
      <c r="J49" s="181"/>
      <c r="K49" s="112"/>
      <c r="L49" s="112"/>
      <c r="M49" s="113"/>
      <c r="N49" s="90"/>
      <c r="O49" s="70"/>
      <c r="P49" s="70"/>
      <c r="Q49" s="70"/>
      <c r="R49" s="70"/>
      <c r="S49" s="70"/>
      <c r="T49" s="70"/>
      <c r="U49" s="71"/>
      <c r="V49" s="70"/>
      <c r="W49" s="70"/>
      <c r="X49" s="70"/>
      <c r="Y49" s="75"/>
      <c r="Z49" s="76"/>
      <c r="AA49" s="71"/>
      <c r="AB49" s="71"/>
      <c r="AC49" s="71"/>
      <c r="AD49" s="71"/>
      <c r="AE49" s="71"/>
      <c r="AF49" s="71"/>
      <c r="AG49" s="73"/>
      <c r="AH49" s="70"/>
      <c r="AI49" s="70"/>
      <c r="AJ49" s="70"/>
      <c r="AK49" s="74"/>
      <c r="AL49" s="78" t="str">
        <f t="shared" si="0"/>
        <v/>
      </c>
      <c r="AO49" s="85"/>
      <c r="AQ49" s="85"/>
      <c r="AS49" s="85"/>
      <c r="AU49" s="78"/>
    </row>
    <row r="50" spans="1:47" s="53" customFormat="1" ht="29.25" customHeight="1" x14ac:dyDescent="0.25">
      <c r="A50" s="115"/>
      <c r="B50" s="193"/>
      <c r="C50" s="194"/>
      <c r="D50" s="194"/>
      <c r="E50" s="69"/>
      <c r="F50" s="69"/>
      <c r="G50" s="175"/>
      <c r="H50" s="176"/>
      <c r="I50" s="175"/>
      <c r="J50" s="181"/>
      <c r="K50" s="112"/>
      <c r="L50" s="112"/>
      <c r="M50" s="113"/>
      <c r="N50" s="90"/>
      <c r="O50" s="70"/>
      <c r="P50" s="70"/>
      <c r="Q50" s="70"/>
      <c r="R50" s="70"/>
      <c r="S50" s="70"/>
      <c r="T50" s="70"/>
      <c r="U50" s="71"/>
      <c r="V50" s="70"/>
      <c r="W50" s="70"/>
      <c r="X50" s="70"/>
      <c r="Y50" s="75"/>
      <c r="Z50" s="76"/>
      <c r="AA50" s="71"/>
      <c r="AB50" s="71"/>
      <c r="AC50" s="71"/>
      <c r="AD50" s="71"/>
      <c r="AE50" s="71"/>
      <c r="AF50" s="71"/>
      <c r="AG50" s="73"/>
      <c r="AH50" s="70"/>
      <c r="AI50" s="70"/>
      <c r="AJ50" s="70"/>
      <c r="AK50" s="74"/>
      <c r="AL50" s="78" t="str">
        <f t="shared" si="0"/>
        <v/>
      </c>
      <c r="AO50" s="85"/>
      <c r="AQ50" s="85"/>
      <c r="AS50" s="85"/>
      <c r="AU50" s="78"/>
    </row>
    <row r="51" spans="1:47" s="53" customFormat="1" ht="29.25" customHeight="1" x14ac:dyDescent="0.25">
      <c r="A51" s="115"/>
      <c r="B51" s="193"/>
      <c r="C51" s="194"/>
      <c r="D51" s="194"/>
      <c r="E51" s="69"/>
      <c r="F51" s="69"/>
      <c r="G51" s="175"/>
      <c r="H51" s="176"/>
      <c r="I51" s="175"/>
      <c r="J51" s="181"/>
      <c r="K51" s="112"/>
      <c r="L51" s="112"/>
      <c r="M51" s="113"/>
      <c r="N51" s="90"/>
      <c r="O51" s="70"/>
      <c r="P51" s="70"/>
      <c r="Q51" s="70"/>
      <c r="R51" s="70"/>
      <c r="S51" s="70"/>
      <c r="T51" s="70"/>
      <c r="U51" s="71"/>
      <c r="V51" s="70"/>
      <c r="W51" s="70"/>
      <c r="X51" s="70"/>
      <c r="Y51" s="75"/>
      <c r="Z51" s="76"/>
      <c r="AA51" s="71"/>
      <c r="AB51" s="71"/>
      <c r="AC51" s="71"/>
      <c r="AD51" s="71"/>
      <c r="AE51" s="71"/>
      <c r="AF51" s="71"/>
      <c r="AG51" s="73"/>
      <c r="AH51" s="70"/>
      <c r="AI51" s="70"/>
      <c r="AJ51" s="70"/>
      <c r="AK51" s="74"/>
      <c r="AL51" s="78" t="str">
        <f t="shared" si="0"/>
        <v/>
      </c>
      <c r="AO51" s="85"/>
      <c r="AQ51" s="85"/>
      <c r="AS51" s="85"/>
      <c r="AU51" s="78"/>
    </row>
    <row r="52" spans="1:47" s="53" customFormat="1" ht="29.25" customHeight="1" x14ac:dyDescent="0.25">
      <c r="A52" s="115"/>
      <c r="B52" s="193"/>
      <c r="C52" s="194"/>
      <c r="D52" s="194"/>
      <c r="E52" s="69"/>
      <c r="F52" s="69"/>
      <c r="G52" s="210"/>
      <c r="H52" s="210"/>
      <c r="I52" s="175"/>
      <c r="J52" s="181"/>
      <c r="K52" s="112"/>
      <c r="L52" s="112"/>
      <c r="M52" s="113"/>
      <c r="N52" s="90"/>
      <c r="O52" s="70"/>
      <c r="P52" s="70"/>
      <c r="Q52" s="70"/>
      <c r="R52" s="70"/>
      <c r="S52" s="70"/>
      <c r="T52" s="70"/>
      <c r="U52" s="71"/>
      <c r="V52" s="70"/>
      <c r="W52" s="70"/>
      <c r="X52" s="70"/>
      <c r="Y52" s="75"/>
      <c r="Z52" s="76"/>
      <c r="AA52" s="71"/>
      <c r="AB52" s="71"/>
      <c r="AC52" s="71"/>
      <c r="AD52" s="71"/>
      <c r="AE52" s="71"/>
      <c r="AF52" s="71"/>
      <c r="AG52" s="73"/>
      <c r="AH52" s="70"/>
      <c r="AI52" s="70"/>
      <c r="AJ52" s="70"/>
      <c r="AK52" s="74"/>
      <c r="AL52" s="78" t="str">
        <f t="shared" si="0"/>
        <v/>
      </c>
      <c r="AO52" s="85"/>
      <c r="AQ52" s="85"/>
      <c r="AS52" s="85"/>
      <c r="AU52" s="78"/>
    </row>
    <row r="53" spans="1:47" s="53" customFormat="1" ht="29.25" customHeight="1" x14ac:dyDescent="0.25">
      <c r="A53" s="115"/>
      <c r="B53" s="193"/>
      <c r="C53" s="194"/>
      <c r="D53" s="194"/>
      <c r="E53" s="69"/>
      <c r="F53" s="69"/>
      <c r="G53" s="210"/>
      <c r="H53" s="210"/>
      <c r="I53" s="175"/>
      <c r="J53" s="181"/>
      <c r="K53" s="112"/>
      <c r="L53" s="112"/>
      <c r="M53" s="113"/>
      <c r="N53" s="90"/>
      <c r="O53" s="70"/>
      <c r="P53" s="70"/>
      <c r="Q53" s="70"/>
      <c r="R53" s="70"/>
      <c r="S53" s="70"/>
      <c r="T53" s="70"/>
      <c r="U53" s="71"/>
      <c r="V53" s="70"/>
      <c r="W53" s="70"/>
      <c r="X53" s="70"/>
      <c r="Y53" s="75"/>
      <c r="Z53" s="76"/>
      <c r="AA53" s="71"/>
      <c r="AB53" s="71"/>
      <c r="AC53" s="71"/>
      <c r="AD53" s="71"/>
      <c r="AE53" s="71"/>
      <c r="AF53" s="71"/>
      <c r="AG53" s="73"/>
      <c r="AH53" s="70"/>
      <c r="AI53" s="70"/>
      <c r="AJ53" s="70"/>
      <c r="AK53" s="74"/>
      <c r="AL53" s="78" t="str">
        <f t="shared" si="0"/>
        <v/>
      </c>
      <c r="AO53" s="85"/>
      <c r="AQ53" s="85"/>
      <c r="AS53" s="85"/>
      <c r="AU53" s="78"/>
    </row>
    <row r="54" spans="1:47" s="53" customFormat="1" ht="29.25" customHeight="1" x14ac:dyDescent="0.25">
      <c r="A54" s="115"/>
      <c r="B54" s="193"/>
      <c r="C54" s="194"/>
      <c r="D54" s="194"/>
      <c r="E54" s="69"/>
      <c r="F54" s="69"/>
      <c r="G54" s="210"/>
      <c r="H54" s="210"/>
      <c r="I54" s="175"/>
      <c r="J54" s="181"/>
      <c r="K54" s="112"/>
      <c r="L54" s="112"/>
      <c r="M54" s="113"/>
      <c r="N54" s="90"/>
      <c r="O54" s="70"/>
      <c r="P54" s="70"/>
      <c r="Q54" s="70"/>
      <c r="R54" s="70"/>
      <c r="S54" s="70"/>
      <c r="T54" s="70"/>
      <c r="U54" s="71"/>
      <c r="V54" s="70"/>
      <c r="W54" s="70"/>
      <c r="X54" s="70"/>
      <c r="Y54" s="75"/>
      <c r="Z54" s="76"/>
      <c r="AA54" s="71"/>
      <c r="AB54" s="71"/>
      <c r="AC54" s="71"/>
      <c r="AD54" s="71"/>
      <c r="AE54" s="71"/>
      <c r="AF54" s="71"/>
      <c r="AG54" s="73"/>
      <c r="AH54" s="70"/>
      <c r="AI54" s="70"/>
      <c r="AJ54" s="70"/>
      <c r="AK54" s="74"/>
      <c r="AL54" s="78" t="str">
        <f t="shared" si="0"/>
        <v/>
      </c>
      <c r="AO54" s="85"/>
      <c r="AQ54" s="85"/>
      <c r="AS54" s="85"/>
      <c r="AU54" s="78"/>
    </row>
    <row r="55" spans="1:47" s="53" customFormat="1" ht="29.25" customHeight="1" x14ac:dyDescent="0.25">
      <c r="A55" s="115"/>
      <c r="B55" s="193"/>
      <c r="C55" s="194"/>
      <c r="D55" s="194"/>
      <c r="E55" s="69"/>
      <c r="F55" s="69"/>
      <c r="G55" s="210"/>
      <c r="H55" s="210"/>
      <c r="I55" s="175"/>
      <c r="J55" s="181"/>
      <c r="K55" s="112"/>
      <c r="L55" s="112"/>
      <c r="M55" s="113"/>
      <c r="N55" s="90"/>
      <c r="O55" s="70"/>
      <c r="P55" s="70"/>
      <c r="Q55" s="70"/>
      <c r="R55" s="70"/>
      <c r="S55" s="70"/>
      <c r="T55" s="70"/>
      <c r="U55" s="71"/>
      <c r="V55" s="70"/>
      <c r="W55" s="70"/>
      <c r="X55" s="70"/>
      <c r="Y55" s="75"/>
      <c r="Z55" s="76"/>
      <c r="AA55" s="71"/>
      <c r="AB55" s="71"/>
      <c r="AC55" s="71"/>
      <c r="AD55" s="71"/>
      <c r="AE55" s="71"/>
      <c r="AF55" s="71"/>
      <c r="AG55" s="73"/>
      <c r="AH55" s="70"/>
      <c r="AI55" s="70"/>
      <c r="AJ55" s="70"/>
      <c r="AK55" s="74"/>
      <c r="AL55" s="78" t="str">
        <f t="shared" si="0"/>
        <v/>
      </c>
      <c r="AO55" s="85"/>
      <c r="AQ55" s="85"/>
      <c r="AS55" s="85"/>
      <c r="AU55" s="78"/>
    </row>
    <row r="56" spans="1:47" s="53" customFormat="1" ht="29.25" customHeight="1" x14ac:dyDescent="0.25">
      <c r="A56" s="115"/>
      <c r="B56" s="193"/>
      <c r="C56" s="194"/>
      <c r="D56" s="194"/>
      <c r="E56" s="69"/>
      <c r="F56" s="69"/>
      <c r="G56" s="210"/>
      <c r="H56" s="210"/>
      <c r="I56" s="175"/>
      <c r="J56" s="181"/>
      <c r="K56" s="112"/>
      <c r="L56" s="112"/>
      <c r="M56" s="113"/>
      <c r="N56" s="90"/>
      <c r="O56" s="70"/>
      <c r="P56" s="70"/>
      <c r="Q56" s="70"/>
      <c r="R56" s="70"/>
      <c r="S56" s="70"/>
      <c r="T56" s="70"/>
      <c r="U56" s="71"/>
      <c r="V56" s="70"/>
      <c r="W56" s="70"/>
      <c r="X56" s="70"/>
      <c r="Y56" s="75"/>
      <c r="Z56" s="76"/>
      <c r="AA56" s="71"/>
      <c r="AB56" s="71"/>
      <c r="AC56" s="71"/>
      <c r="AD56" s="71"/>
      <c r="AE56" s="71"/>
      <c r="AF56" s="71"/>
      <c r="AG56" s="73"/>
      <c r="AH56" s="70"/>
      <c r="AI56" s="70"/>
      <c r="AJ56" s="70"/>
      <c r="AK56" s="74"/>
      <c r="AL56" s="78" t="str">
        <f t="shared" si="0"/>
        <v/>
      </c>
      <c r="AO56" s="85"/>
      <c r="AQ56" s="85"/>
      <c r="AS56" s="85"/>
      <c r="AU56" s="78"/>
    </row>
    <row r="57" spans="1:47" s="53" customFormat="1" ht="29.25" customHeight="1" x14ac:dyDescent="0.25">
      <c r="A57" s="115"/>
      <c r="B57" s="193"/>
      <c r="C57" s="194"/>
      <c r="D57" s="194"/>
      <c r="E57" s="69"/>
      <c r="F57" s="69"/>
      <c r="G57" s="210"/>
      <c r="H57" s="210"/>
      <c r="I57" s="175"/>
      <c r="J57" s="181"/>
      <c r="K57" s="112"/>
      <c r="L57" s="112"/>
      <c r="M57" s="113"/>
      <c r="N57" s="90"/>
      <c r="O57" s="70"/>
      <c r="P57" s="70"/>
      <c r="Q57" s="70"/>
      <c r="R57" s="70"/>
      <c r="S57" s="70"/>
      <c r="T57" s="70"/>
      <c r="U57" s="71"/>
      <c r="V57" s="70"/>
      <c r="W57" s="70"/>
      <c r="X57" s="70"/>
      <c r="Y57" s="75"/>
      <c r="Z57" s="76"/>
      <c r="AA57" s="71"/>
      <c r="AB57" s="71"/>
      <c r="AC57" s="71"/>
      <c r="AD57" s="71"/>
      <c r="AE57" s="71"/>
      <c r="AF57" s="71"/>
      <c r="AG57" s="73"/>
      <c r="AH57" s="70"/>
      <c r="AI57" s="70"/>
      <c r="AJ57" s="70"/>
      <c r="AK57" s="74"/>
      <c r="AL57" s="78" t="str">
        <f t="shared" si="0"/>
        <v/>
      </c>
      <c r="AO57" s="85"/>
      <c r="AQ57" s="85"/>
      <c r="AS57" s="85"/>
      <c r="AU57" s="78"/>
    </row>
    <row r="58" spans="1:47" s="53" customFormat="1" ht="29.25" customHeight="1" x14ac:dyDescent="0.25">
      <c r="A58" s="115"/>
      <c r="B58" s="193"/>
      <c r="C58" s="194"/>
      <c r="D58" s="194"/>
      <c r="E58" s="69"/>
      <c r="F58" s="69"/>
      <c r="G58" s="210"/>
      <c r="H58" s="210"/>
      <c r="I58" s="175"/>
      <c r="J58" s="181"/>
      <c r="K58" s="112"/>
      <c r="L58" s="112"/>
      <c r="M58" s="113"/>
      <c r="N58" s="90"/>
      <c r="O58" s="70"/>
      <c r="P58" s="70"/>
      <c r="Q58" s="70"/>
      <c r="R58" s="70"/>
      <c r="S58" s="70"/>
      <c r="T58" s="70"/>
      <c r="U58" s="71"/>
      <c r="V58" s="70"/>
      <c r="W58" s="70"/>
      <c r="X58" s="70"/>
      <c r="Y58" s="75"/>
      <c r="Z58" s="76"/>
      <c r="AA58" s="71"/>
      <c r="AB58" s="71"/>
      <c r="AC58" s="71"/>
      <c r="AD58" s="71"/>
      <c r="AE58" s="71"/>
      <c r="AF58" s="71"/>
      <c r="AG58" s="73"/>
      <c r="AH58" s="70"/>
      <c r="AI58" s="70"/>
      <c r="AJ58" s="70"/>
      <c r="AK58" s="74"/>
      <c r="AL58" s="78" t="str">
        <f t="shared" si="0"/>
        <v/>
      </c>
      <c r="AO58" s="85"/>
      <c r="AQ58" s="85"/>
      <c r="AS58" s="85"/>
      <c r="AU58" s="78"/>
    </row>
    <row r="59" spans="1:47" s="53" customFormat="1" ht="29.25" customHeight="1" x14ac:dyDescent="0.25">
      <c r="A59" s="115"/>
      <c r="B59" s="193"/>
      <c r="C59" s="194"/>
      <c r="D59" s="194"/>
      <c r="E59" s="69"/>
      <c r="F59" s="69"/>
      <c r="G59" s="210"/>
      <c r="H59" s="210"/>
      <c r="I59" s="175"/>
      <c r="J59" s="181"/>
      <c r="K59" s="112"/>
      <c r="L59" s="112"/>
      <c r="M59" s="113"/>
      <c r="N59" s="90"/>
      <c r="O59" s="70"/>
      <c r="P59" s="70"/>
      <c r="Q59" s="70"/>
      <c r="R59" s="70"/>
      <c r="S59" s="70"/>
      <c r="T59" s="70"/>
      <c r="U59" s="71"/>
      <c r="V59" s="70"/>
      <c r="W59" s="70"/>
      <c r="X59" s="70"/>
      <c r="Y59" s="75"/>
      <c r="Z59" s="76"/>
      <c r="AA59" s="71"/>
      <c r="AB59" s="71"/>
      <c r="AC59" s="71"/>
      <c r="AD59" s="71"/>
      <c r="AE59" s="71"/>
      <c r="AF59" s="71"/>
      <c r="AG59" s="73"/>
      <c r="AH59" s="70"/>
      <c r="AI59" s="70"/>
      <c r="AJ59" s="70"/>
      <c r="AK59" s="74"/>
      <c r="AL59" s="78" t="str">
        <f t="shared" si="0"/>
        <v/>
      </c>
      <c r="AO59" s="85"/>
      <c r="AQ59" s="85"/>
      <c r="AS59" s="85"/>
      <c r="AU59" s="78"/>
    </row>
    <row r="60" spans="1:47" s="53" customFormat="1" ht="29.25" customHeight="1" x14ac:dyDescent="0.25">
      <c r="A60" s="115"/>
      <c r="B60" s="193"/>
      <c r="C60" s="194"/>
      <c r="D60" s="194"/>
      <c r="E60" s="69"/>
      <c r="F60" s="69"/>
      <c r="G60" s="210"/>
      <c r="H60" s="210"/>
      <c r="I60" s="175"/>
      <c r="J60" s="181"/>
      <c r="K60" s="112"/>
      <c r="L60" s="112"/>
      <c r="M60" s="113"/>
      <c r="N60" s="90"/>
      <c r="O60" s="70"/>
      <c r="P60" s="70"/>
      <c r="Q60" s="70"/>
      <c r="R60" s="70"/>
      <c r="S60" s="70"/>
      <c r="T60" s="70"/>
      <c r="U60" s="71"/>
      <c r="V60" s="70"/>
      <c r="W60" s="70"/>
      <c r="X60" s="70"/>
      <c r="Y60" s="75"/>
      <c r="Z60" s="76"/>
      <c r="AA60" s="71"/>
      <c r="AB60" s="71"/>
      <c r="AC60" s="71"/>
      <c r="AD60" s="71"/>
      <c r="AE60" s="71"/>
      <c r="AF60" s="71"/>
      <c r="AG60" s="73"/>
      <c r="AH60" s="70"/>
      <c r="AI60" s="70"/>
      <c r="AJ60" s="70"/>
      <c r="AK60" s="74"/>
      <c r="AL60" s="78" t="str">
        <f t="shared" si="0"/>
        <v/>
      </c>
      <c r="AO60" s="85"/>
      <c r="AQ60" s="85"/>
      <c r="AS60" s="85"/>
      <c r="AU60" s="78"/>
    </row>
    <row r="61" spans="1:47" x14ac:dyDescent="0.2">
      <c r="K61" s="68"/>
      <c r="L61" s="68"/>
      <c r="M61" s="68"/>
      <c r="O61" s="68"/>
      <c r="P61" s="68"/>
      <c r="Q61" s="68"/>
      <c r="R61" s="68"/>
      <c r="S61" s="68"/>
      <c r="T61" s="68"/>
      <c r="V61" s="68"/>
      <c r="W61" s="68"/>
      <c r="X61" s="68"/>
      <c r="AK61" s="54"/>
      <c r="AL61" s="78" t="str">
        <f t="shared" si="0"/>
        <v/>
      </c>
      <c r="AO61" s="85"/>
      <c r="AQ61" s="85"/>
      <c r="AS61" s="85"/>
      <c r="AU61" s="78"/>
    </row>
    <row r="62" spans="1:47" x14ac:dyDescent="0.2">
      <c r="K62" s="68"/>
      <c r="L62" s="68"/>
      <c r="M62" s="68"/>
      <c r="O62" s="68"/>
      <c r="P62" s="68"/>
      <c r="Q62" s="68"/>
      <c r="R62" s="68"/>
      <c r="S62" s="68"/>
      <c r="T62" s="68"/>
      <c r="V62" s="68"/>
      <c r="W62" s="68"/>
      <c r="X62" s="68"/>
      <c r="AK62" s="54"/>
      <c r="AL62" s="78" t="str">
        <f t="shared" si="0"/>
        <v/>
      </c>
      <c r="AO62" s="85"/>
      <c r="AQ62" s="85"/>
      <c r="AS62" s="85"/>
      <c r="AU62" s="78"/>
    </row>
    <row r="63" spans="1:47" x14ac:dyDescent="0.2">
      <c r="K63" s="68"/>
      <c r="L63" s="68"/>
      <c r="M63" s="68"/>
      <c r="O63" s="68"/>
      <c r="P63" s="68"/>
      <c r="Q63" s="68"/>
      <c r="R63" s="68"/>
      <c r="S63" s="68"/>
      <c r="T63" s="68"/>
      <c r="V63" s="68"/>
      <c r="W63" s="68"/>
      <c r="X63" s="68"/>
      <c r="AK63" s="54"/>
      <c r="AL63" s="78" t="str">
        <f t="shared" si="0"/>
        <v/>
      </c>
      <c r="AO63" s="85"/>
      <c r="AQ63" s="85"/>
      <c r="AS63" s="85"/>
      <c r="AU63" s="78"/>
    </row>
    <row r="64" spans="1:47" x14ac:dyDescent="0.2">
      <c r="K64" s="68"/>
      <c r="L64" s="68"/>
      <c r="M64" s="68"/>
      <c r="O64" s="68"/>
      <c r="P64" s="68"/>
      <c r="Q64" s="68"/>
      <c r="R64" s="68"/>
      <c r="S64" s="68"/>
      <c r="T64" s="68"/>
      <c r="V64" s="68"/>
      <c r="W64" s="68"/>
      <c r="X64" s="68"/>
      <c r="AK64" s="54"/>
      <c r="AL64" s="78" t="str">
        <f t="shared" si="0"/>
        <v/>
      </c>
      <c r="AO64" s="85"/>
      <c r="AQ64" s="85"/>
      <c r="AS64" s="85"/>
      <c r="AU64" s="78"/>
    </row>
    <row r="65" spans="11:47" x14ac:dyDescent="0.2">
      <c r="K65" s="68"/>
      <c r="L65" s="68"/>
      <c r="M65" s="68"/>
      <c r="O65" s="68"/>
      <c r="P65" s="68"/>
      <c r="Q65" s="68"/>
      <c r="R65" s="68"/>
      <c r="S65" s="68"/>
      <c r="T65" s="68"/>
      <c r="V65" s="68"/>
      <c r="W65" s="68"/>
      <c r="X65" s="68"/>
      <c r="AK65" s="54"/>
      <c r="AL65" s="78" t="str">
        <f t="shared" si="0"/>
        <v/>
      </c>
      <c r="AO65" s="85"/>
      <c r="AQ65" s="85"/>
      <c r="AS65" s="85"/>
      <c r="AU65" s="78"/>
    </row>
    <row r="66" spans="11:47" x14ac:dyDescent="0.2">
      <c r="K66" s="68"/>
      <c r="L66" s="68"/>
      <c r="M66" s="68"/>
      <c r="O66" s="68"/>
      <c r="P66" s="68"/>
      <c r="Q66" s="68"/>
      <c r="R66" s="68"/>
      <c r="S66" s="68"/>
      <c r="T66" s="68"/>
      <c r="V66" s="68"/>
      <c r="W66" s="68"/>
      <c r="X66" s="68"/>
      <c r="AK66" s="54"/>
      <c r="AL66" s="78" t="str">
        <f t="shared" si="0"/>
        <v/>
      </c>
      <c r="AO66" s="85"/>
      <c r="AQ66" s="85"/>
      <c r="AS66" s="85"/>
      <c r="AU66" s="78"/>
    </row>
    <row r="67" spans="11:47" x14ac:dyDescent="0.2">
      <c r="K67" s="68"/>
      <c r="L67" s="68"/>
      <c r="M67" s="68"/>
      <c r="O67" s="68"/>
      <c r="P67" s="68"/>
      <c r="Q67" s="68"/>
      <c r="R67" s="68"/>
      <c r="S67" s="68"/>
      <c r="T67" s="68"/>
      <c r="V67" s="68"/>
      <c r="W67" s="68"/>
      <c r="X67" s="68"/>
      <c r="AK67" s="54"/>
      <c r="AL67" s="78" t="str">
        <f t="shared" si="0"/>
        <v/>
      </c>
      <c r="AO67" s="85"/>
      <c r="AQ67" s="85"/>
      <c r="AS67" s="85"/>
      <c r="AU67" s="78"/>
    </row>
    <row r="68" spans="11:47" x14ac:dyDescent="0.2">
      <c r="K68" s="68"/>
      <c r="L68" s="68"/>
      <c r="M68" s="68"/>
      <c r="O68" s="68"/>
      <c r="P68" s="68"/>
      <c r="Q68" s="68"/>
      <c r="R68" s="68"/>
      <c r="S68" s="68"/>
      <c r="T68" s="68"/>
      <c r="V68" s="68"/>
      <c r="W68" s="68"/>
      <c r="X68" s="68"/>
      <c r="AK68" s="54"/>
      <c r="AL68" s="78" t="str">
        <f t="shared" si="0"/>
        <v/>
      </c>
      <c r="AO68" s="85"/>
      <c r="AQ68" s="85"/>
      <c r="AS68" s="85"/>
      <c r="AU68" s="78"/>
    </row>
    <row r="69" spans="11:47" x14ac:dyDescent="0.2">
      <c r="K69" s="68"/>
      <c r="L69" s="68"/>
      <c r="M69" s="68"/>
      <c r="O69" s="68"/>
      <c r="P69" s="68"/>
      <c r="Q69" s="68"/>
      <c r="R69" s="68"/>
      <c r="S69" s="68"/>
      <c r="T69" s="68"/>
      <c r="V69" s="68"/>
      <c r="W69" s="68"/>
      <c r="X69" s="68"/>
      <c r="AK69" s="54"/>
      <c r="AL69" s="78" t="str">
        <f t="shared" si="0"/>
        <v/>
      </c>
      <c r="AO69" s="85"/>
      <c r="AQ69" s="85"/>
      <c r="AS69" s="85"/>
      <c r="AU69" s="78"/>
    </row>
    <row r="70" spans="11:47" x14ac:dyDescent="0.2">
      <c r="K70" s="68"/>
      <c r="L70" s="68"/>
      <c r="M70" s="68"/>
      <c r="O70" s="68"/>
      <c r="P70" s="68"/>
      <c r="Q70" s="68"/>
      <c r="R70" s="68"/>
      <c r="S70" s="68"/>
      <c r="T70" s="68"/>
      <c r="V70" s="68"/>
      <c r="W70" s="68"/>
      <c r="X70" s="68"/>
      <c r="AK70" s="54"/>
      <c r="AL70" s="78" t="str">
        <f t="shared" si="0"/>
        <v/>
      </c>
      <c r="AO70" s="85"/>
      <c r="AQ70" s="85"/>
      <c r="AS70" s="85"/>
      <c r="AU70" s="78"/>
    </row>
    <row r="71" spans="11:47" x14ac:dyDescent="0.2">
      <c r="K71" s="68"/>
      <c r="L71" s="68"/>
      <c r="M71" s="68"/>
      <c r="O71" s="68"/>
      <c r="P71" s="68"/>
      <c r="Q71" s="68"/>
      <c r="R71" s="68"/>
      <c r="S71" s="68"/>
      <c r="T71" s="68"/>
      <c r="V71" s="68"/>
      <c r="W71" s="68"/>
      <c r="X71" s="68"/>
      <c r="AK71" s="54"/>
      <c r="AL71" s="78" t="str">
        <f t="shared" si="0"/>
        <v/>
      </c>
      <c r="AO71" s="85"/>
      <c r="AQ71" s="85"/>
      <c r="AS71" s="85"/>
      <c r="AU71" s="78"/>
    </row>
    <row r="72" spans="11:47" x14ac:dyDescent="0.2">
      <c r="K72" s="68"/>
      <c r="L72" s="68"/>
      <c r="M72" s="68"/>
      <c r="O72" s="68"/>
      <c r="P72" s="68"/>
      <c r="Q72" s="68"/>
      <c r="R72" s="68"/>
      <c r="S72" s="68"/>
      <c r="T72" s="68"/>
      <c r="V72" s="68"/>
      <c r="W72" s="68"/>
      <c r="X72" s="68"/>
      <c r="AK72" s="54"/>
      <c r="AL72" s="78" t="str">
        <f t="shared" si="0"/>
        <v/>
      </c>
      <c r="AO72" s="85"/>
      <c r="AQ72" s="85"/>
      <c r="AS72" s="85"/>
      <c r="AU72" s="78"/>
    </row>
    <row r="73" spans="11:47" x14ac:dyDescent="0.2">
      <c r="K73" s="68"/>
      <c r="L73" s="68"/>
      <c r="M73" s="68"/>
      <c r="O73" s="68"/>
      <c r="P73" s="68"/>
      <c r="Q73" s="68"/>
      <c r="R73" s="68"/>
      <c r="S73" s="68"/>
      <c r="T73" s="68"/>
      <c r="V73" s="68"/>
      <c r="W73" s="68"/>
      <c r="X73" s="68"/>
      <c r="AK73" s="54"/>
      <c r="AL73" s="78" t="str">
        <f t="shared" si="0"/>
        <v/>
      </c>
      <c r="AO73" s="85"/>
      <c r="AQ73" s="85"/>
      <c r="AS73" s="85"/>
      <c r="AU73" s="78"/>
    </row>
    <row r="74" spans="11:47" x14ac:dyDescent="0.2">
      <c r="K74" s="68"/>
      <c r="L74" s="68"/>
      <c r="M74" s="68"/>
      <c r="O74" s="68"/>
      <c r="P74" s="68"/>
      <c r="Q74" s="68"/>
      <c r="R74" s="68"/>
      <c r="S74" s="68"/>
      <c r="T74" s="68"/>
      <c r="V74" s="68"/>
      <c r="W74" s="68"/>
      <c r="X74" s="68"/>
      <c r="AK74" s="54"/>
      <c r="AL74" s="78" t="str">
        <f t="shared" si="0"/>
        <v/>
      </c>
      <c r="AO74" s="85"/>
      <c r="AQ74" s="85"/>
      <c r="AS74" s="85"/>
      <c r="AU74" s="78"/>
    </row>
    <row r="75" spans="11:47" x14ac:dyDescent="0.2">
      <c r="K75" s="68"/>
      <c r="L75" s="68"/>
      <c r="M75" s="68"/>
      <c r="O75" s="68"/>
      <c r="P75" s="68"/>
      <c r="Q75" s="68"/>
      <c r="R75" s="68"/>
      <c r="S75" s="68"/>
      <c r="T75" s="68"/>
      <c r="V75" s="68"/>
      <c r="W75" s="68"/>
      <c r="X75" s="68"/>
      <c r="AK75" s="54"/>
      <c r="AL75" s="78" t="str">
        <f t="shared" si="0"/>
        <v/>
      </c>
      <c r="AO75" s="85"/>
      <c r="AQ75" s="85"/>
      <c r="AS75" s="85"/>
      <c r="AU75" s="78"/>
    </row>
    <row r="76" spans="11:47" x14ac:dyDescent="0.2">
      <c r="K76" s="68"/>
      <c r="L76" s="68"/>
      <c r="M76" s="68"/>
      <c r="O76" s="68"/>
      <c r="P76" s="68"/>
      <c r="Q76" s="68"/>
      <c r="R76" s="68"/>
      <c r="S76" s="68"/>
      <c r="T76" s="68"/>
      <c r="V76" s="68"/>
      <c r="W76" s="68"/>
      <c r="X76" s="68"/>
      <c r="AK76" s="54"/>
      <c r="AL76" s="78" t="str">
        <f t="shared" si="0"/>
        <v/>
      </c>
      <c r="AO76" s="85"/>
      <c r="AQ76" s="85"/>
      <c r="AS76" s="85"/>
      <c r="AU76" s="78"/>
    </row>
    <row r="77" spans="11:47" x14ac:dyDescent="0.2">
      <c r="K77" s="68"/>
      <c r="L77" s="68"/>
      <c r="M77" s="68"/>
      <c r="O77" s="68"/>
      <c r="P77" s="68"/>
      <c r="Q77" s="68"/>
      <c r="R77" s="68"/>
      <c r="S77" s="68"/>
      <c r="T77" s="68"/>
      <c r="V77" s="68"/>
      <c r="W77" s="68"/>
      <c r="X77" s="68"/>
      <c r="AK77" s="54"/>
      <c r="AL77" s="78" t="str">
        <f t="shared" si="0"/>
        <v/>
      </c>
      <c r="AO77" s="85"/>
      <c r="AQ77" s="85"/>
      <c r="AS77" s="85"/>
      <c r="AU77" s="78"/>
    </row>
    <row r="78" spans="11:47" x14ac:dyDescent="0.2">
      <c r="K78" s="68"/>
      <c r="L78" s="68"/>
      <c r="M78" s="68"/>
      <c r="O78" s="68"/>
      <c r="P78" s="68"/>
      <c r="Q78" s="68"/>
      <c r="R78" s="68"/>
      <c r="S78" s="68"/>
      <c r="T78" s="68"/>
      <c r="V78" s="68"/>
      <c r="W78" s="68"/>
      <c r="X78" s="68"/>
      <c r="AK78" s="54"/>
      <c r="AL78" s="78" t="str">
        <f t="shared" ref="AL78:AL141" si="1">IF(AK78="","",VLOOKUP(AK78,SEGUIMIENTOS,2,FALSE))</f>
        <v/>
      </c>
      <c r="AO78" s="85"/>
      <c r="AQ78" s="85"/>
      <c r="AS78" s="85"/>
      <c r="AU78" s="78"/>
    </row>
    <row r="79" spans="11:47" x14ac:dyDescent="0.2">
      <c r="K79" s="68"/>
      <c r="L79" s="68"/>
      <c r="M79" s="68"/>
      <c r="O79" s="68"/>
      <c r="P79" s="68"/>
      <c r="Q79" s="68"/>
      <c r="R79" s="68"/>
      <c r="S79" s="68"/>
      <c r="T79" s="68"/>
      <c r="V79" s="68"/>
      <c r="W79" s="68"/>
      <c r="X79" s="68"/>
      <c r="AK79" s="54"/>
      <c r="AL79" s="78" t="str">
        <f t="shared" si="1"/>
        <v/>
      </c>
      <c r="AO79" s="85"/>
      <c r="AQ79" s="85"/>
      <c r="AS79" s="85"/>
      <c r="AU79" s="78"/>
    </row>
    <row r="80" spans="11:47" x14ac:dyDescent="0.2">
      <c r="K80" s="68"/>
      <c r="L80" s="68"/>
      <c r="M80" s="68"/>
      <c r="O80" s="68"/>
      <c r="P80" s="68"/>
      <c r="Q80" s="68"/>
      <c r="R80" s="68"/>
      <c r="S80" s="68"/>
      <c r="T80" s="68"/>
      <c r="V80" s="68"/>
      <c r="W80" s="68"/>
      <c r="X80" s="68"/>
      <c r="AK80" s="54"/>
      <c r="AL80" s="78" t="str">
        <f t="shared" si="1"/>
        <v/>
      </c>
      <c r="AO80" s="85"/>
      <c r="AQ80" s="85"/>
      <c r="AS80" s="85"/>
      <c r="AU80" s="78"/>
    </row>
    <row r="81" spans="11:47" x14ac:dyDescent="0.2">
      <c r="K81" s="68"/>
      <c r="L81" s="68"/>
      <c r="M81" s="68"/>
      <c r="O81" s="68"/>
      <c r="P81" s="68"/>
      <c r="Q81" s="68"/>
      <c r="R81" s="68"/>
      <c r="S81" s="68"/>
      <c r="T81" s="68"/>
      <c r="V81" s="68"/>
      <c r="W81" s="68"/>
      <c r="X81" s="68"/>
      <c r="AK81" s="54"/>
      <c r="AL81" s="78" t="str">
        <f t="shared" si="1"/>
        <v/>
      </c>
      <c r="AO81" s="85"/>
      <c r="AQ81" s="85"/>
      <c r="AS81" s="85"/>
      <c r="AU81" s="78"/>
    </row>
    <row r="82" spans="11:47" x14ac:dyDescent="0.2">
      <c r="K82" s="68"/>
      <c r="L82" s="68"/>
      <c r="M82" s="68"/>
      <c r="O82" s="68"/>
      <c r="P82" s="68"/>
      <c r="Q82" s="68"/>
      <c r="R82" s="68"/>
      <c r="S82" s="68"/>
      <c r="T82" s="68"/>
      <c r="V82" s="68"/>
      <c r="W82" s="68"/>
      <c r="X82" s="68"/>
      <c r="AK82" s="54"/>
      <c r="AL82" s="78" t="str">
        <f t="shared" si="1"/>
        <v/>
      </c>
      <c r="AO82" s="85"/>
      <c r="AQ82" s="85"/>
      <c r="AS82" s="85"/>
      <c r="AU82" s="78"/>
    </row>
    <row r="83" spans="11:47" x14ac:dyDescent="0.2">
      <c r="K83" s="68"/>
      <c r="L83" s="68"/>
      <c r="M83" s="68"/>
      <c r="O83" s="68"/>
      <c r="P83" s="68"/>
      <c r="Q83" s="68"/>
      <c r="R83" s="68"/>
      <c r="S83" s="68"/>
      <c r="T83" s="68"/>
      <c r="V83" s="68"/>
      <c r="W83" s="68"/>
      <c r="X83" s="68"/>
      <c r="AK83" s="54"/>
      <c r="AL83" s="78" t="str">
        <f t="shared" si="1"/>
        <v/>
      </c>
      <c r="AO83" s="85"/>
      <c r="AQ83" s="85"/>
      <c r="AS83" s="85"/>
      <c r="AU83" s="78"/>
    </row>
    <row r="84" spans="11:47" x14ac:dyDescent="0.2">
      <c r="K84" s="68"/>
      <c r="L84" s="68"/>
      <c r="M84" s="68"/>
      <c r="O84" s="68"/>
      <c r="P84" s="68"/>
      <c r="Q84" s="68"/>
      <c r="R84" s="68"/>
      <c r="S84" s="68"/>
      <c r="T84" s="68"/>
      <c r="V84" s="68"/>
      <c r="W84" s="68"/>
      <c r="X84" s="68"/>
      <c r="AK84" s="54"/>
      <c r="AL84" s="78" t="str">
        <f t="shared" si="1"/>
        <v/>
      </c>
      <c r="AO84" s="85"/>
      <c r="AQ84" s="85"/>
      <c r="AS84" s="85"/>
      <c r="AU84" s="78"/>
    </row>
    <row r="85" spans="11:47" x14ac:dyDescent="0.2">
      <c r="K85" s="68"/>
      <c r="L85" s="68"/>
      <c r="M85" s="68"/>
      <c r="O85" s="68"/>
      <c r="P85" s="68"/>
      <c r="Q85" s="68"/>
      <c r="R85" s="68"/>
      <c r="S85" s="68"/>
      <c r="T85" s="68"/>
      <c r="V85" s="68"/>
      <c r="W85" s="68"/>
      <c r="X85" s="68"/>
      <c r="AK85" s="54"/>
      <c r="AL85" s="78" t="str">
        <f t="shared" si="1"/>
        <v/>
      </c>
      <c r="AO85" s="85"/>
      <c r="AQ85" s="85"/>
      <c r="AS85" s="85"/>
      <c r="AU85" s="78"/>
    </row>
    <row r="86" spans="11:47" x14ac:dyDescent="0.2">
      <c r="K86" s="68"/>
      <c r="L86" s="68"/>
      <c r="M86" s="68"/>
      <c r="O86" s="68"/>
      <c r="P86" s="68"/>
      <c r="Q86" s="68"/>
      <c r="R86" s="68"/>
      <c r="S86" s="68"/>
      <c r="T86" s="68"/>
      <c r="V86" s="68"/>
      <c r="W86" s="68"/>
      <c r="X86" s="68"/>
      <c r="AK86" s="54"/>
      <c r="AL86" s="78" t="str">
        <f t="shared" si="1"/>
        <v/>
      </c>
      <c r="AO86" s="85"/>
      <c r="AQ86" s="85"/>
      <c r="AS86" s="85"/>
      <c r="AU86" s="78"/>
    </row>
    <row r="87" spans="11:47" x14ac:dyDescent="0.2">
      <c r="K87" s="68"/>
      <c r="L87" s="68"/>
      <c r="M87" s="68"/>
      <c r="O87" s="68"/>
      <c r="P87" s="68"/>
      <c r="Q87" s="68"/>
      <c r="R87" s="68"/>
      <c r="S87" s="68"/>
      <c r="T87" s="68"/>
      <c r="V87" s="68"/>
      <c r="W87" s="68"/>
      <c r="X87" s="68"/>
      <c r="AK87" s="54"/>
      <c r="AL87" s="78" t="str">
        <f t="shared" si="1"/>
        <v/>
      </c>
      <c r="AO87" s="85"/>
      <c r="AQ87" s="85"/>
      <c r="AS87" s="85"/>
      <c r="AU87" s="78"/>
    </row>
    <row r="88" spans="11:47" x14ac:dyDescent="0.2">
      <c r="K88" s="68"/>
      <c r="L88" s="68"/>
      <c r="M88" s="68"/>
      <c r="O88" s="68"/>
      <c r="P88" s="68"/>
      <c r="Q88" s="68"/>
      <c r="R88" s="68"/>
      <c r="S88" s="68"/>
      <c r="T88" s="68"/>
      <c r="V88" s="68"/>
      <c r="W88" s="68"/>
      <c r="X88" s="68"/>
      <c r="AK88" s="54"/>
      <c r="AL88" s="78" t="str">
        <f t="shared" si="1"/>
        <v/>
      </c>
      <c r="AO88" s="85"/>
      <c r="AQ88" s="85"/>
      <c r="AS88" s="85"/>
      <c r="AU88" s="78"/>
    </row>
    <row r="89" spans="11:47" x14ac:dyDescent="0.2">
      <c r="K89" s="68"/>
      <c r="L89" s="68"/>
      <c r="M89" s="68"/>
      <c r="O89" s="68"/>
      <c r="P89" s="68"/>
      <c r="Q89" s="68"/>
      <c r="R89" s="68"/>
      <c r="S89" s="68"/>
      <c r="T89" s="68"/>
      <c r="V89" s="68"/>
      <c r="W89" s="68"/>
      <c r="X89" s="68"/>
      <c r="AK89" s="54"/>
      <c r="AL89" s="78" t="str">
        <f t="shared" si="1"/>
        <v/>
      </c>
      <c r="AO89" s="85"/>
      <c r="AQ89" s="85"/>
      <c r="AS89" s="85"/>
      <c r="AU89" s="78"/>
    </row>
    <row r="90" spans="11:47" x14ac:dyDescent="0.2">
      <c r="K90" s="68"/>
      <c r="L90" s="68"/>
      <c r="M90" s="68"/>
      <c r="O90" s="68"/>
      <c r="P90" s="68"/>
      <c r="Q90" s="68"/>
      <c r="R90" s="68"/>
      <c r="S90" s="68"/>
      <c r="T90" s="68"/>
      <c r="V90" s="68"/>
      <c r="W90" s="68"/>
      <c r="X90" s="68"/>
      <c r="AK90" s="54"/>
      <c r="AL90" s="78" t="str">
        <f t="shared" si="1"/>
        <v/>
      </c>
      <c r="AO90" s="85"/>
      <c r="AQ90" s="85"/>
      <c r="AS90" s="85"/>
      <c r="AU90" s="78"/>
    </row>
    <row r="91" spans="11:47" x14ac:dyDescent="0.2">
      <c r="K91" s="68"/>
      <c r="L91" s="68"/>
      <c r="M91" s="68"/>
      <c r="O91" s="68"/>
      <c r="P91" s="68"/>
      <c r="Q91" s="68"/>
      <c r="R91" s="68"/>
      <c r="S91" s="68"/>
      <c r="T91" s="68"/>
      <c r="V91" s="68"/>
      <c r="W91" s="68"/>
      <c r="X91" s="68"/>
      <c r="AK91" s="54"/>
      <c r="AL91" s="78" t="str">
        <f t="shared" si="1"/>
        <v/>
      </c>
      <c r="AO91" s="85"/>
      <c r="AQ91" s="85"/>
      <c r="AS91" s="85"/>
      <c r="AU91" s="78"/>
    </row>
    <row r="92" spans="11:47" x14ac:dyDescent="0.2">
      <c r="K92" s="68"/>
      <c r="L92" s="68"/>
      <c r="M92" s="68"/>
      <c r="O92" s="68"/>
      <c r="P92" s="68"/>
      <c r="Q92" s="68"/>
      <c r="R92" s="68"/>
      <c r="S92" s="68"/>
      <c r="T92" s="68"/>
      <c r="V92" s="68"/>
      <c r="W92" s="68"/>
      <c r="X92" s="68"/>
      <c r="AK92" s="54"/>
      <c r="AL92" s="78" t="str">
        <f t="shared" si="1"/>
        <v/>
      </c>
      <c r="AO92" s="85"/>
      <c r="AQ92" s="85"/>
      <c r="AS92" s="85"/>
      <c r="AU92" s="78"/>
    </row>
    <row r="93" spans="11:47" x14ac:dyDescent="0.2">
      <c r="K93" s="68"/>
      <c r="L93" s="68"/>
      <c r="M93" s="68"/>
      <c r="O93" s="68"/>
      <c r="P93" s="68"/>
      <c r="Q93" s="68"/>
      <c r="R93" s="68"/>
      <c r="S93" s="68"/>
      <c r="T93" s="68"/>
      <c r="V93" s="68"/>
      <c r="W93" s="68"/>
      <c r="X93" s="68"/>
      <c r="AK93" s="54"/>
      <c r="AL93" s="78" t="str">
        <f t="shared" si="1"/>
        <v/>
      </c>
      <c r="AO93" s="85"/>
      <c r="AQ93" s="85"/>
      <c r="AS93" s="85"/>
      <c r="AU93" s="78"/>
    </row>
    <row r="94" spans="11:47" x14ac:dyDescent="0.2">
      <c r="K94" s="68"/>
      <c r="L94" s="68"/>
      <c r="M94" s="68"/>
      <c r="O94" s="68"/>
      <c r="P94" s="68"/>
      <c r="Q94" s="68"/>
      <c r="R94" s="68"/>
      <c r="S94" s="68"/>
      <c r="T94" s="68"/>
      <c r="V94" s="68"/>
      <c r="W94" s="68"/>
      <c r="X94" s="68"/>
      <c r="AK94" s="54"/>
      <c r="AL94" s="78" t="str">
        <f t="shared" si="1"/>
        <v/>
      </c>
      <c r="AO94" s="85"/>
      <c r="AQ94" s="85"/>
      <c r="AS94" s="85"/>
      <c r="AU94" s="78"/>
    </row>
    <row r="95" spans="11:47" x14ac:dyDescent="0.2">
      <c r="K95" s="68"/>
      <c r="L95" s="68"/>
      <c r="M95" s="68"/>
      <c r="O95" s="68"/>
      <c r="P95" s="68"/>
      <c r="Q95" s="68"/>
      <c r="R95" s="68"/>
      <c r="S95" s="68"/>
      <c r="T95" s="68"/>
      <c r="V95" s="68"/>
      <c r="W95" s="68"/>
      <c r="X95" s="68"/>
      <c r="AK95" s="54"/>
      <c r="AL95" s="78" t="str">
        <f t="shared" si="1"/>
        <v/>
      </c>
      <c r="AO95" s="85"/>
      <c r="AQ95" s="85"/>
      <c r="AS95" s="85"/>
      <c r="AU95" s="78"/>
    </row>
    <row r="96" spans="11:47" x14ac:dyDescent="0.2">
      <c r="K96" s="68"/>
      <c r="L96" s="68"/>
      <c r="M96" s="68"/>
      <c r="O96" s="68"/>
      <c r="P96" s="68"/>
      <c r="Q96" s="68"/>
      <c r="R96" s="68"/>
      <c r="S96" s="68"/>
      <c r="T96" s="68"/>
      <c r="V96" s="68"/>
      <c r="W96" s="68"/>
      <c r="X96" s="68"/>
      <c r="AK96" s="54"/>
      <c r="AL96" s="78" t="str">
        <f t="shared" si="1"/>
        <v/>
      </c>
      <c r="AO96" s="85"/>
      <c r="AQ96" s="85"/>
      <c r="AS96" s="85"/>
      <c r="AU96" s="78"/>
    </row>
    <row r="97" spans="11:47" x14ac:dyDescent="0.2">
      <c r="K97" s="68"/>
      <c r="L97" s="68"/>
      <c r="M97" s="68"/>
      <c r="O97" s="68"/>
      <c r="P97" s="68"/>
      <c r="Q97" s="68"/>
      <c r="R97" s="68"/>
      <c r="S97" s="68"/>
      <c r="T97" s="68"/>
      <c r="V97" s="68"/>
      <c r="W97" s="68"/>
      <c r="X97" s="68"/>
      <c r="AK97" s="54"/>
      <c r="AL97" s="78" t="str">
        <f t="shared" si="1"/>
        <v/>
      </c>
      <c r="AO97" s="85"/>
      <c r="AQ97" s="85"/>
      <c r="AS97" s="85"/>
      <c r="AU97" s="78"/>
    </row>
    <row r="98" spans="11:47" x14ac:dyDescent="0.2">
      <c r="K98" s="68"/>
      <c r="L98" s="68"/>
      <c r="M98" s="68"/>
      <c r="O98" s="68"/>
      <c r="P98" s="68"/>
      <c r="Q98" s="68"/>
      <c r="R98" s="68"/>
      <c r="S98" s="68"/>
      <c r="T98" s="68"/>
      <c r="V98" s="68"/>
      <c r="W98" s="68"/>
      <c r="X98" s="68"/>
      <c r="AK98" s="54"/>
      <c r="AL98" s="78" t="str">
        <f t="shared" si="1"/>
        <v/>
      </c>
      <c r="AO98" s="85"/>
      <c r="AQ98" s="85"/>
      <c r="AS98" s="85"/>
      <c r="AU98" s="78"/>
    </row>
    <row r="99" spans="11:47" x14ac:dyDescent="0.2">
      <c r="K99" s="68"/>
      <c r="L99" s="68"/>
      <c r="M99" s="68"/>
      <c r="O99" s="68"/>
      <c r="P99" s="68"/>
      <c r="Q99" s="68"/>
      <c r="R99" s="68"/>
      <c r="S99" s="68"/>
      <c r="T99" s="68"/>
      <c r="V99" s="68"/>
      <c r="W99" s="68"/>
      <c r="X99" s="68"/>
      <c r="AK99" s="54"/>
      <c r="AL99" s="78" t="str">
        <f t="shared" si="1"/>
        <v/>
      </c>
      <c r="AO99" s="85"/>
      <c r="AQ99" s="85"/>
      <c r="AS99" s="85"/>
      <c r="AU99" s="78"/>
    </row>
    <row r="100" spans="11:47" x14ac:dyDescent="0.2">
      <c r="K100" s="68"/>
      <c r="L100" s="68"/>
      <c r="M100" s="68"/>
      <c r="O100" s="68"/>
      <c r="P100" s="68"/>
      <c r="Q100" s="68"/>
      <c r="R100" s="68"/>
      <c r="S100" s="68"/>
      <c r="T100" s="68"/>
      <c r="V100" s="68"/>
      <c r="W100" s="68"/>
      <c r="X100" s="68"/>
      <c r="AK100" s="54"/>
      <c r="AL100" s="78" t="str">
        <f t="shared" si="1"/>
        <v/>
      </c>
      <c r="AO100" s="85"/>
      <c r="AQ100" s="85"/>
      <c r="AS100" s="85"/>
      <c r="AU100" s="78"/>
    </row>
    <row r="101" spans="11:47" x14ac:dyDescent="0.2">
      <c r="K101" s="68"/>
      <c r="L101" s="68"/>
      <c r="M101" s="68"/>
      <c r="O101" s="68"/>
      <c r="P101" s="68"/>
      <c r="Q101" s="68"/>
      <c r="R101" s="68"/>
      <c r="S101" s="68"/>
      <c r="T101" s="68"/>
      <c r="V101" s="68"/>
      <c r="W101" s="68"/>
      <c r="X101" s="68"/>
      <c r="AK101" s="54"/>
      <c r="AL101" s="78" t="str">
        <f t="shared" si="1"/>
        <v/>
      </c>
      <c r="AO101" s="85"/>
      <c r="AQ101" s="85"/>
      <c r="AS101" s="85"/>
      <c r="AU101" s="78"/>
    </row>
    <row r="102" spans="11:47" x14ac:dyDescent="0.2">
      <c r="K102" s="68"/>
      <c r="L102" s="68"/>
      <c r="M102" s="68"/>
      <c r="O102" s="68"/>
      <c r="P102" s="68"/>
      <c r="Q102" s="68"/>
      <c r="R102" s="68"/>
      <c r="S102" s="68"/>
      <c r="T102" s="68"/>
      <c r="V102" s="68"/>
      <c r="W102" s="68"/>
      <c r="X102" s="68"/>
      <c r="AK102" s="54"/>
      <c r="AL102" s="78" t="str">
        <f t="shared" si="1"/>
        <v/>
      </c>
      <c r="AO102" s="85"/>
      <c r="AQ102" s="85"/>
      <c r="AS102" s="85"/>
      <c r="AU102" s="78"/>
    </row>
    <row r="103" spans="11:47" x14ac:dyDescent="0.2">
      <c r="K103" s="68"/>
      <c r="L103" s="68"/>
      <c r="M103" s="68"/>
      <c r="O103" s="68"/>
      <c r="P103" s="68"/>
      <c r="Q103" s="68"/>
      <c r="R103" s="68"/>
      <c r="S103" s="68"/>
      <c r="T103" s="68"/>
      <c r="V103" s="68"/>
      <c r="W103" s="68"/>
      <c r="X103" s="68"/>
      <c r="AK103" s="54"/>
      <c r="AL103" s="78" t="str">
        <f t="shared" si="1"/>
        <v/>
      </c>
      <c r="AO103" s="85"/>
      <c r="AQ103" s="85"/>
      <c r="AS103" s="85"/>
      <c r="AU103" s="78"/>
    </row>
    <row r="104" spans="11:47" x14ac:dyDescent="0.2">
      <c r="K104" s="68"/>
      <c r="L104" s="68"/>
      <c r="M104" s="68"/>
      <c r="O104" s="68"/>
      <c r="P104" s="68"/>
      <c r="Q104" s="68"/>
      <c r="R104" s="68"/>
      <c r="S104" s="68"/>
      <c r="T104" s="68"/>
      <c r="V104" s="68"/>
      <c r="W104" s="68"/>
      <c r="X104" s="68"/>
      <c r="AK104" s="54"/>
      <c r="AL104" s="78" t="str">
        <f t="shared" si="1"/>
        <v/>
      </c>
      <c r="AO104" s="85"/>
      <c r="AQ104" s="85"/>
      <c r="AS104" s="85"/>
      <c r="AU104" s="78"/>
    </row>
    <row r="105" spans="11:47" x14ac:dyDescent="0.2">
      <c r="K105" s="68"/>
      <c r="L105" s="68"/>
      <c r="M105" s="68"/>
      <c r="O105" s="68"/>
      <c r="P105" s="68"/>
      <c r="Q105" s="68"/>
      <c r="R105" s="68"/>
      <c r="S105" s="68"/>
      <c r="T105" s="68"/>
      <c r="V105" s="68"/>
      <c r="W105" s="68"/>
      <c r="X105" s="68"/>
      <c r="AK105" s="54"/>
      <c r="AL105" s="78" t="str">
        <f t="shared" si="1"/>
        <v/>
      </c>
      <c r="AO105" s="85"/>
      <c r="AQ105" s="85"/>
      <c r="AS105" s="85"/>
      <c r="AU105" s="78"/>
    </row>
    <row r="106" spans="11:47" x14ac:dyDescent="0.2">
      <c r="K106" s="68"/>
      <c r="L106" s="68"/>
      <c r="M106" s="68"/>
      <c r="O106" s="68"/>
      <c r="P106" s="68"/>
      <c r="Q106" s="68"/>
      <c r="R106" s="68"/>
      <c r="S106" s="68"/>
      <c r="T106" s="68"/>
      <c r="V106" s="68"/>
      <c r="W106" s="68"/>
      <c r="X106" s="68"/>
      <c r="AK106" s="54"/>
      <c r="AL106" s="78" t="str">
        <f t="shared" si="1"/>
        <v/>
      </c>
      <c r="AO106" s="85"/>
      <c r="AQ106" s="85"/>
      <c r="AS106" s="85"/>
      <c r="AU106" s="78"/>
    </row>
    <row r="107" spans="11:47" x14ac:dyDescent="0.2">
      <c r="K107" s="68"/>
      <c r="L107" s="68"/>
      <c r="M107" s="68"/>
      <c r="O107" s="68"/>
      <c r="P107" s="68"/>
      <c r="Q107" s="68"/>
      <c r="R107" s="68"/>
      <c r="S107" s="68"/>
      <c r="T107" s="68"/>
      <c r="V107" s="68"/>
      <c r="W107" s="68"/>
      <c r="X107" s="68"/>
      <c r="AK107" s="54"/>
      <c r="AL107" s="78" t="str">
        <f t="shared" si="1"/>
        <v/>
      </c>
      <c r="AO107" s="85"/>
      <c r="AQ107" s="85"/>
      <c r="AS107" s="85"/>
      <c r="AU107" s="78"/>
    </row>
    <row r="108" spans="11:47" x14ac:dyDescent="0.2">
      <c r="K108" s="68"/>
      <c r="L108" s="68"/>
      <c r="M108" s="68"/>
      <c r="O108" s="68"/>
      <c r="P108" s="68"/>
      <c r="Q108" s="68"/>
      <c r="R108" s="68"/>
      <c r="S108" s="68"/>
      <c r="T108" s="68"/>
      <c r="V108" s="68"/>
      <c r="W108" s="68"/>
      <c r="X108" s="68"/>
      <c r="AK108" s="54"/>
      <c r="AL108" s="78" t="str">
        <f t="shared" si="1"/>
        <v/>
      </c>
      <c r="AO108" s="85"/>
      <c r="AQ108" s="85"/>
      <c r="AS108" s="85"/>
      <c r="AU108" s="78"/>
    </row>
    <row r="109" spans="11:47" x14ac:dyDescent="0.2">
      <c r="K109" s="68"/>
      <c r="L109" s="68"/>
      <c r="M109" s="68"/>
      <c r="O109" s="68"/>
      <c r="P109" s="68"/>
      <c r="Q109" s="68"/>
      <c r="R109" s="68"/>
      <c r="S109" s="68"/>
      <c r="T109" s="68"/>
      <c r="V109" s="68"/>
      <c r="W109" s="68"/>
      <c r="X109" s="68"/>
      <c r="AK109" s="54"/>
      <c r="AL109" s="78" t="str">
        <f t="shared" si="1"/>
        <v/>
      </c>
      <c r="AO109" s="85"/>
      <c r="AQ109" s="85"/>
      <c r="AS109" s="85"/>
      <c r="AU109" s="78"/>
    </row>
    <row r="110" spans="11:47" x14ac:dyDescent="0.2">
      <c r="K110" s="68"/>
      <c r="L110" s="68"/>
      <c r="M110" s="68"/>
      <c r="O110" s="68"/>
      <c r="P110" s="68"/>
      <c r="Q110" s="68"/>
      <c r="R110" s="68"/>
      <c r="S110" s="68"/>
      <c r="T110" s="68"/>
      <c r="V110" s="68"/>
      <c r="W110" s="68"/>
      <c r="X110" s="68"/>
      <c r="AK110" s="54"/>
      <c r="AL110" s="78" t="str">
        <f t="shared" si="1"/>
        <v/>
      </c>
      <c r="AO110" s="85"/>
      <c r="AQ110" s="85"/>
      <c r="AS110" s="85"/>
      <c r="AU110" s="78"/>
    </row>
    <row r="111" spans="11:47" x14ac:dyDescent="0.2">
      <c r="K111" s="68"/>
      <c r="L111" s="68"/>
      <c r="M111" s="68"/>
      <c r="O111" s="68"/>
      <c r="P111" s="68"/>
      <c r="Q111" s="68"/>
      <c r="R111" s="68"/>
      <c r="S111" s="68"/>
      <c r="T111" s="68"/>
      <c r="V111" s="68"/>
      <c r="W111" s="68"/>
      <c r="X111" s="68"/>
      <c r="AK111" s="54"/>
      <c r="AL111" s="78" t="str">
        <f t="shared" si="1"/>
        <v/>
      </c>
      <c r="AO111" s="85"/>
      <c r="AQ111" s="85"/>
      <c r="AS111" s="85"/>
      <c r="AU111" s="78"/>
    </row>
    <row r="112" spans="11:47" x14ac:dyDescent="0.2">
      <c r="K112" s="68"/>
      <c r="L112" s="68"/>
      <c r="M112" s="68"/>
      <c r="O112" s="68"/>
      <c r="P112" s="68"/>
      <c r="Q112" s="68"/>
      <c r="R112" s="68"/>
      <c r="S112" s="68"/>
      <c r="T112" s="68"/>
      <c r="V112" s="68"/>
      <c r="W112" s="68"/>
      <c r="X112" s="68"/>
      <c r="AK112" s="54"/>
      <c r="AL112" s="78" t="str">
        <f t="shared" si="1"/>
        <v/>
      </c>
      <c r="AO112" s="85"/>
      <c r="AQ112" s="85"/>
      <c r="AS112" s="85"/>
      <c r="AU112" s="78"/>
    </row>
    <row r="113" spans="11:47" x14ac:dyDescent="0.2">
      <c r="K113" s="68"/>
      <c r="L113" s="68"/>
      <c r="M113" s="68"/>
      <c r="O113" s="68"/>
      <c r="P113" s="68"/>
      <c r="Q113" s="68"/>
      <c r="R113" s="68"/>
      <c r="S113" s="68"/>
      <c r="T113" s="68"/>
      <c r="V113" s="68"/>
      <c r="W113" s="68"/>
      <c r="X113" s="68"/>
      <c r="AK113" s="54"/>
      <c r="AL113" s="78" t="str">
        <f t="shared" si="1"/>
        <v/>
      </c>
      <c r="AO113" s="85"/>
      <c r="AQ113" s="85"/>
      <c r="AS113" s="85"/>
      <c r="AU113" s="78"/>
    </row>
    <row r="114" spans="11:47" x14ac:dyDescent="0.2">
      <c r="K114" s="68"/>
      <c r="L114" s="68"/>
      <c r="M114" s="68"/>
      <c r="O114" s="68"/>
      <c r="P114" s="68"/>
      <c r="Q114" s="68"/>
      <c r="R114" s="68"/>
      <c r="S114" s="68"/>
      <c r="T114" s="68"/>
      <c r="V114" s="68"/>
      <c r="W114" s="68"/>
      <c r="X114" s="68"/>
      <c r="AK114" s="54"/>
      <c r="AL114" s="78" t="str">
        <f t="shared" si="1"/>
        <v/>
      </c>
      <c r="AO114" s="85"/>
      <c r="AQ114" s="85"/>
      <c r="AS114" s="85"/>
      <c r="AU114" s="78"/>
    </row>
    <row r="115" spans="11:47" x14ac:dyDescent="0.2">
      <c r="K115" s="68"/>
      <c r="L115" s="68"/>
      <c r="M115" s="68"/>
      <c r="O115" s="68"/>
      <c r="P115" s="68"/>
      <c r="Q115" s="68"/>
      <c r="R115" s="68"/>
      <c r="S115" s="68"/>
      <c r="T115" s="68"/>
      <c r="V115" s="68"/>
      <c r="W115" s="68"/>
      <c r="X115" s="68"/>
      <c r="AK115" s="54"/>
      <c r="AL115" s="78" t="str">
        <f t="shared" si="1"/>
        <v/>
      </c>
      <c r="AO115" s="85"/>
      <c r="AQ115" s="85"/>
      <c r="AS115" s="85"/>
      <c r="AU115" s="78"/>
    </row>
    <row r="116" spans="11:47" x14ac:dyDescent="0.2">
      <c r="K116" s="68"/>
      <c r="L116" s="68"/>
      <c r="M116" s="68"/>
      <c r="O116" s="68"/>
      <c r="P116" s="68"/>
      <c r="Q116" s="68"/>
      <c r="R116" s="68"/>
      <c r="S116" s="68"/>
      <c r="T116" s="68"/>
      <c r="V116" s="68"/>
      <c r="W116" s="68"/>
      <c r="X116" s="68"/>
      <c r="AK116" s="54"/>
      <c r="AL116" s="78" t="str">
        <f t="shared" si="1"/>
        <v/>
      </c>
      <c r="AO116" s="85"/>
      <c r="AQ116" s="85"/>
      <c r="AS116" s="85"/>
      <c r="AU116" s="78"/>
    </row>
    <row r="117" spans="11:47" x14ac:dyDescent="0.2">
      <c r="K117" s="68"/>
      <c r="L117" s="68"/>
      <c r="M117" s="68"/>
      <c r="O117" s="68"/>
      <c r="P117" s="68"/>
      <c r="Q117" s="68"/>
      <c r="R117" s="68"/>
      <c r="S117" s="68"/>
      <c r="T117" s="68"/>
      <c r="V117" s="68"/>
      <c r="W117" s="68"/>
      <c r="X117" s="68"/>
      <c r="AK117" s="54"/>
      <c r="AL117" s="78" t="str">
        <f t="shared" si="1"/>
        <v/>
      </c>
      <c r="AO117" s="85"/>
      <c r="AQ117" s="85"/>
      <c r="AS117" s="85"/>
      <c r="AU117" s="78"/>
    </row>
    <row r="118" spans="11:47" x14ac:dyDescent="0.2">
      <c r="K118" s="68"/>
      <c r="L118" s="68"/>
      <c r="M118" s="68"/>
      <c r="O118" s="68"/>
      <c r="P118" s="68"/>
      <c r="Q118" s="68"/>
      <c r="R118" s="68"/>
      <c r="S118" s="68"/>
      <c r="T118" s="68"/>
      <c r="V118" s="68"/>
      <c r="W118" s="68"/>
      <c r="X118" s="68"/>
      <c r="AK118" s="54"/>
      <c r="AL118" s="78" t="str">
        <f t="shared" si="1"/>
        <v/>
      </c>
      <c r="AO118" s="85"/>
      <c r="AQ118" s="85"/>
      <c r="AS118" s="85"/>
      <c r="AU118" s="78"/>
    </row>
    <row r="119" spans="11:47" x14ac:dyDescent="0.2">
      <c r="K119" s="68"/>
      <c r="L119" s="68"/>
      <c r="M119" s="68"/>
      <c r="O119" s="68"/>
      <c r="P119" s="68"/>
      <c r="Q119" s="68"/>
      <c r="R119" s="68"/>
      <c r="S119" s="68"/>
      <c r="T119" s="68"/>
      <c r="V119" s="68"/>
      <c r="W119" s="68"/>
      <c r="X119" s="68"/>
      <c r="AK119" s="54"/>
      <c r="AL119" s="78" t="str">
        <f t="shared" si="1"/>
        <v/>
      </c>
      <c r="AO119" s="85"/>
      <c r="AQ119" s="85"/>
      <c r="AS119" s="85"/>
      <c r="AU119" s="78"/>
    </row>
    <row r="120" spans="11:47" x14ac:dyDescent="0.2">
      <c r="K120" s="68"/>
      <c r="L120" s="68"/>
      <c r="M120" s="68"/>
      <c r="O120" s="68"/>
      <c r="P120" s="68"/>
      <c r="Q120" s="68"/>
      <c r="R120" s="68"/>
      <c r="S120" s="68"/>
      <c r="T120" s="68"/>
      <c r="V120" s="68"/>
      <c r="W120" s="68"/>
      <c r="X120" s="68"/>
      <c r="AK120" s="54"/>
      <c r="AL120" s="78" t="str">
        <f t="shared" si="1"/>
        <v/>
      </c>
      <c r="AO120" s="85"/>
      <c r="AQ120" s="85"/>
      <c r="AS120" s="85"/>
      <c r="AU120" s="78"/>
    </row>
    <row r="121" spans="11:47" x14ac:dyDescent="0.2">
      <c r="K121" s="68"/>
      <c r="L121" s="68"/>
      <c r="M121" s="68"/>
      <c r="O121" s="68"/>
      <c r="P121" s="68"/>
      <c r="Q121" s="68"/>
      <c r="R121" s="68"/>
      <c r="S121" s="68"/>
      <c r="T121" s="68"/>
      <c r="V121" s="68"/>
      <c r="W121" s="68"/>
      <c r="X121" s="68"/>
      <c r="AK121" s="54"/>
      <c r="AL121" s="78" t="str">
        <f t="shared" si="1"/>
        <v/>
      </c>
      <c r="AO121" s="85"/>
      <c r="AQ121" s="85"/>
      <c r="AS121" s="85"/>
      <c r="AU121" s="78"/>
    </row>
    <row r="122" spans="11:47" x14ac:dyDescent="0.2">
      <c r="K122" s="68"/>
      <c r="L122" s="68"/>
      <c r="M122" s="68"/>
      <c r="O122" s="68"/>
      <c r="P122" s="68"/>
      <c r="Q122" s="68"/>
      <c r="R122" s="68"/>
      <c r="S122" s="68"/>
      <c r="T122" s="68"/>
      <c r="V122" s="68"/>
      <c r="W122" s="68"/>
      <c r="X122" s="68"/>
      <c r="AK122" s="54"/>
      <c r="AL122" s="78" t="str">
        <f t="shared" si="1"/>
        <v/>
      </c>
      <c r="AO122" s="85"/>
      <c r="AQ122" s="85"/>
      <c r="AS122" s="85"/>
      <c r="AU122" s="78"/>
    </row>
    <row r="123" spans="11:47" x14ac:dyDescent="0.2">
      <c r="K123" s="68"/>
      <c r="L123" s="68"/>
      <c r="M123" s="68"/>
      <c r="O123" s="68"/>
      <c r="P123" s="68"/>
      <c r="Q123" s="68"/>
      <c r="R123" s="68"/>
      <c r="S123" s="68"/>
      <c r="T123" s="68"/>
      <c r="V123" s="68"/>
      <c r="W123" s="68"/>
      <c r="X123" s="68"/>
      <c r="AK123" s="54"/>
      <c r="AL123" s="78" t="str">
        <f t="shared" si="1"/>
        <v/>
      </c>
      <c r="AO123" s="85"/>
      <c r="AQ123" s="85"/>
      <c r="AS123" s="85"/>
      <c r="AU123" s="78"/>
    </row>
    <row r="124" spans="11:47" x14ac:dyDescent="0.2">
      <c r="K124" s="68"/>
      <c r="L124" s="68"/>
      <c r="M124" s="68"/>
      <c r="O124" s="68"/>
      <c r="P124" s="68"/>
      <c r="Q124" s="68"/>
      <c r="R124" s="68"/>
      <c r="S124" s="68"/>
      <c r="T124" s="68"/>
      <c r="V124" s="68"/>
      <c r="W124" s="68"/>
      <c r="X124" s="68"/>
      <c r="AK124" s="54"/>
      <c r="AL124" s="78" t="str">
        <f t="shared" si="1"/>
        <v/>
      </c>
      <c r="AO124" s="85"/>
      <c r="AQ124" s="85"/>
      <c r="AS124" s="85"/>
      <c r="AU124" s="78"/>
    </row>
    <row r="125" spans="11:47" x14ac:dyDescent="0.2">
      <c r="K125" s="68"/>
      <c r="L125" s="68"/>
      <c r="M125" s="68"/>
      <c r="O125" s="68"/>
      <c r="P125" s="68"/>
      <c r="Q125" s="68"/>
      <c r="R125" s="68"/>
      <c r="S125" s="68"/>
      <c r="T125" s="68"/>
      <c r="V125" s="68"/>
      <c r="W125" s="68"/>
      <c r="X125" s="68"/>
      <c r="AK125" s="54"/>
      <c r="AL125" s="78" t="str">
        <f t="shared" si="1"/>
        <v/>
      </c>
      <c r="AO125" s="85"/>
      <c r="AQ125" s="85"/>
      <c r="AS125" s="85"/>
      <c r="AU125" s="78"/>
    </row>
    <row r="126" spans="11:47" x14ac:dyDescent="0.2">
      <c r="K126" s="68"/>
      <c r="L126" s="68"/>
      <c r="M126" s="68"/>
      <c r="O126" s="68"/>
      <c r="P126" s="68"/>
      <c r="Q126" s="68"/>
      <c r="R126" s="68"/>
      <c r="S126" s="68"/>
      <c r="T126" s="68"/>
      <c r="V126" s="68"/>
      <c r="W126" s="68"/>
      <c r="X126" s="68"/>
      <c r="AK126" s="54"/>
      <c r="AL126" s="78" t="str">
        <f t="shared" si="1"/>
        <v/>
      </c>
      <c r="AO126" s="85"/>
      <c r="AQ126" s="85"/>
      <c r="AS126" s="85"/>
      <c r="AU126" s="78"/>
    </row>
    <row r="127" spans="11:47" x14ac:dyDescent="0.2">
      <c r="K127" s="68"/>
      <c r="L127" s="68"/>
      <c r="M127" s="68"/>
      <c r="O127" s="68"/>
      <c r="P127" s="68"/>
      <c r="Q127" s="68"/>
      <c r="R127" s="68"/>
      <c r="S127" s="68"/>
      <c r="T127" s="68"/>
      <c r="V127" s="68"/>
      <c r="W127" s="68"/>
      <c r="X127" s="68"/>
      <c r="AK127" s="54"/>
      <c r="AL127" s="78" t="str">
        <f t="shared" si="1"/>
        <v/>
      </c>
      <c r="AO127" s="85"/>
      <c r="AQ127" s="85"/>
      <c r="AS127" s="85"/>
      <c r="AU127" s="78"/>
    </row>
    <row r="128" spans="11:47" x14ac:dyDescent="0.2">
      <c r="K128" s="68"/>
      <c r="L128" s="68"/>
      <c r="M128" s="68"/>
      <c r="O128" s="68"/>
      <c r="P128" s="68"/>
      <c r="Q128" s="68"/>
      <c r="R128" s="68"/>
      <c r="S128" s="68"/>
      <c r="T128" s="68"/>
      <c r="V128" s="68"/>
      <c r="W128" s="68"/>
      <c r="X128" s="68"/>
      <c r="AK128" s="54"/>
      <c r="AL128" s="78" t="str">
        <f t="shared" si="1"/>
        <v/>
      </c>
      <c r="AO128" s="85"/>
      <c r="AQ128" s="85"/>
      <c r="AS128" s="85"/>
      <c r="AU128" s="78"/>
    </row>
    <row r="129" spans="11:47" x14ac:dyDescent="0.2">
      <c r="K129" s="68"/>
      <c r="L129" s="68"/>
      <c r="M129" s="68"/>
      <c r="O129" s="68"/>
      <c r="P129" s="68"/>
      <c r="Q129" s="68"/>
      <c r="R129" s="68"/>
      <c r="S129" s="68"/>
      <c r="T129" s="68"/>
      <c r="V129" s="68"/>
      <c r="W129" s="68"/>
      <c r="X129" s="68"/>
      <c r="AK129" s="54"/>
      <c r="AL129" s="78" t="str">
        <f t="shared" si="1"/>
        <v/>
      </c>
      <c r="AO129" s="85"/>
      <c r="AQ129" s="85"/>
      <c r="AS129" s="85"/>
      <c r="AU129" s="78"/>
    </row>
    <row r="130" spans="11:47" x14ac:dyDescent="0.2">
      <c r="K130" s="68"/>
      <c r="L130" s="68"/>
      <c r="M130" s="68"/>
      <c r="O130" s="68"/>
      <c r="P130" s="68"/>
      <c r="Q130" s="68"/>
      <c r="R130" s="68"/>
      <c r="S130" s="68"/>
      <c r="T130" s="68"/>
      <c r="V130" s="68"/>
      <c r="W130" s="68"/>
      <c r="X130" s="68"/>
      <c r="AK130" s="54"/>
      <c r="AL130" s="78" t="str">
        <f t="shared" si="1"/>
        <v/>
      </c>
      <c r="AO130" s="85"/>
      <c r="AQ130" s="85"/>
      <c r="AS130" s="85"/>
      <c r="AU130" s="78"/>
    </row>
    <row r="131" spans="11:47" x14ac:dyDescent="0.2">
      <c r="K131" s="68"/>
      <c r="L131" s="68"/>
      <c r="M131" s="68"/>
      <c r="O131" s="68"/>
      <c r="P131" s="68"/>
      <c r="Q131" s="68"/>
      <c r="R131" s="68"/>
      <c r="S131" s="68"/>
      <c r="T131" s="68"/>
      <c r="V131" s="68"/>
      <c r="W131" s="68"/>
      <c r="X131" s="68"/>
      <c r="AK131" s="54"/>
      <c r="AL131" s="78" t="str">
        <f t="shared" si="1"/>
        <v/>
      </c>
      <c r="AO131" s="85"/>
      <c r="AQ131" s="85"/>
      <c r="AS131" s="85"/>
      <c r="AU131" s="78"/>
    </row>
    <row r="132" spans="11:47" x14ac:dyDescent="0.2">
      <c r="K132" s="68"/>
      <c r="L132" s="68"/>
      <c r="M132" s="68"/>
      <c r="O132" s="68"/>
      <c r="P132" s="68"/>
      <c r="Q132" s="68"/>
      <c r="R132" s="68"/>
      <c r="S132" s="68"/>
      <c r="T132" s="68"/>
      <c r="V132" s="68"/>
      <c r="W132" s="68"/>
      <c r="X132" s="68"/>
      <c r="AK132" s="54"/>
      <c r="AL132" s="78" t="str">
        <f t="shared" si="1"/>
        <v/>
      </c>
      <c r="AO132" s="85"/>
      <c r="AQ132" s="85"/>
      <c r="AS132" s="85"/>
      <c r="AU132" s="78"/>
    </row>
    <row r="133" spans="11:47" x14ac:dyDescent="0.2">
      <c r="K133" s="68"/>
      <c r="L133" s="68"/>
      <c r="M133" s="68"/>
      <c r="O133" s="68"/>
      <c r="P133" s="68"/>
      <c r="Q133" s="68"/>
      <c r="R133" s="68"/>
      <c r="S133" s="68"/>
      <c r="T133" s="68"/>
      <c r="V133" s="68"/>
      <c r="W133" s="68"/>
      <c r="X133" s="68"/>
      <c r="AK133" s="54"/>
      <c r="AL133" s="78" t="str">
        <f t="shared" si="1"/>
        <v/>
      </c>
      <c r="AO133" s="85"/>
      <c r="AQ133" s="85"/>
      <c r="AS133" s="85"/>
      <c r="AU133" s="78"/>
    </row>
    <row r="134" spans="11:47" x14ac:dyDescent="0.2">
      <c r="K134" s="68"/>
      <c r="L134" s="68"/>
      <c r="M134" s="68"/>
      <c r="O134" s="68"/>
      <c r="P134" s="68"/>
      <c r="Q134" s="68"/>
      <c r="R134" s="68"/>
      <c r="S134" s="68"/>
      <c r="T134" s="68"/>
      <c r="V134" s="68"/>
      <c r="W134" s="68"/>
      <c r="X134" s="68"/>
      <c r="AK134" s="54"/>
      <c r="AL134" s="78" t="str">
        <f t="shared" si="1"/>
        <v/>
      </c>
      <c r="AO134" s="85"/>
      <c r="AQ134" s="85"/>
      <c r="AS134" s="85"/>
      <c r="AU134" s="78"/>
    </row>
    <row r="135" spans="11:47" x14ac:dyDescent="0.2">
      <c r="K135" s="68"/>
      <c r="L135" s="68"/>
      <c r="M135" s="68"/>
      <c r="O135" s="68"/>
      <c r="P135" s="68"/>
      <c r="Q135" s="68"/>
      <c r="R135" s="68"/>
      <c r="S135" s="68"/>
      <c r="T135" s="68"/>
      <c r="V135" s="68"/>
      <c r="W135" s="68"/>
      <c r="X135" s="68"/>
      <c r="AK135" s="54"/>
      <c r="AL135" s="78" t="str">
        <f t="shared" si="1"/>
        <v/>
      </c>
      <c r="AO135" s="85"/>
      <c r="AQ135" s="85"/>
      <c r="AS135" s="85"/>
      <c r="AU135" s="78"/>
    </row>
    <row r="136" spans="11:47" x14ac:dyDescent="0.2">
      <c r="K136" s="68"/>
      <c r="L136" s="68"/>
      <c r="M136" s="68"/>
      <c r="O136" s="68"/>
      <c r="P136" s="68"/>
      <c r="Q136" s="68"/>
      <c r="R136" s="68"/>
      <c r="S136" s="68"/>
      <c r="T136" s="68"/>
      <c r="V136" s="68"/>
      <c r="W136" s="68"/>
      <c r="X136" s="68"/>
      <c r="AK136" s="54"/>
      <c r="AL136" s="78" t="str">
        <f t="shared" si="1"/>
        <v/>
      </c>
      <c r="AO136" s="85"/>
      <c r="AQ136" s="85"/>
      <c r="AS136" s="85"/>
      <c r="AU136" s="78"/>
    </row>
    <row r="137" spans="11:47" x14ac:dyDescent="0.2">
      <c r="K137" s="68"/>
      <c r="L137" s="68"/>
      <c r="M137" s="68"/>
      <c r="O137" s="68"/>
      <c r="P137" s="68"/>
      <c r="Q137" s="68"/>
      <c r="R137" s="68"/>
      <c r="S137" s="68"/>
      <c r="T137" s="68"/>
      <c r="V137" s="68"/>
      <c r="W137" s="68"/>
      <c r="X137" s="68"/>
      <c r="AK137" s="54"/>
      <c r="AL137" s="78" t="str">
        <f t="shared" si="1"/>
        <v/>
      </c>
      <c r="AO137" s="85"/>
      <c r="AQ137" s="85"/>
      <c r="AS137" s="85"/>
      <c r="AU137" s="78"/>
    </row>
    <row r="138" spans="11:47" x14ac:dyDescent="0.2">
      <c r="K138" s="68"/>
      <c r="L138" s="68"/>
      <c r="M138" s="68"/>
      <c r="O138" s="68"/>
      <c r="P138" s="68"/>
      <c r="Q138" s="68"/>
      <c r="R138" s="68"/>
      <c r="S138" s="68"/>
      <c r="T138" s="68"/>
      <c r="V138" s="68"/>
      <c r="W138" s="68"/>
      <c r="X138" s="68"/>
      <c r="AK138" s="54"/>
      <c r="AL138" s="78" t="str">
        <f t="shared" si="1"/>
        <v/>
      </c>
      <c r="AO138" s="85"/>
      <c r="AQ138" s="85"/>
      <c r="AS138" s="85"/>
      <c r="AU138" s="78"/>
    </row>
    <row r="139" spans="11:47" x14ac:dyDescent="0.2">
      <c r="K139" s="68"/>
      <c r="L139" s="68"/>
      <c r="M139" s="68"/>
      <c r="O139" s="68"/>
      <c r="P139" s="68"/>
      <c r="Q139" s="68"/>
      <c r="R139" s="68"/>
      <c r="S139" s="68"/>
      <c r="T139" s="68"/>
      <c r="V139" s="68"/>
      <c r="W139" s="68"/>
      <c r="X139" s="68"/>
      <c r="AK139" s="54"/>
      <c r="AL139" s="78" t="str">
        <f t="shared" si="1"/>
        <v/>
      </c>
      <c r="AO139" s="85"/>
      <c r="AQ139" s="85"/>
      <c r="AS139" s="85"/>
      <c r="AU139" s="78"/>
    </row>
    <row r="140" spans="11:47" x14ac:dyDescent="0.2">
      <c r="K140" s="68"/>
      <c r="L140" s="68"/>
      <c r="M140" s="68"/>
      <c r="O140" s="68"/>
      <c r="P140" s="68"/>
      <c r="Q140" s="68"/>
      <c r="R140" s="68"/>
      <c r="S140" s="68"/>
      <c r="T140" s="68"/>
      <c r="V140" s="68"/>
      <c r="W140" s="68"/>
      <c r="X140" s="68"/>
      <c r="AK140" s="54"/>
      <c r="AL140" s="78" t="str">
        <f t="shared" si="1"/>
        <v/>
      </c>
      <c r="AO140" s="85"/>
      <c r="AQ140" s="85"/>
      <c r="AS140" s="85"/>
      <c r="AU140" s="78"/>
    </row>
    <row r="141" spans="11:47" x14ac:dyDescent="0.2">
      <c r="K141" s="68"/>
      <c r="L141" s="68"/>
      <c r="M141" s="68"/>
      <c r="O141" s="68"/>
      <c r="P141" s="68"/>
      <c r="Q141" s="68"/>
      <c r="R141" s="68"/>
      <c r="S141" s="68"/>
      <c r="T141" s="68"/>
      <c r="V141" s="68"/>
      <c r="W141" s="68"/>
      <c r="X141" s="68"/>
      <c r="AK141" s="54"/>
      <c r="AL141" s="78" t="str">
        <f t="shared" si="1"/>
        <v/>
      </c>
      <c r="AO141" s="85"/>
      <c r="AQ141" s="85"/>
      <c r="AS141" s="85"/>
      <c r="AU141" s="78"/>
    </row>
    <row r="142" spans="11:47" x14ac:dyDescent="0.2">
      <c r="K142" s="68"/>
      <c r="L142" s="68"/>
      <c r="M142" s="68"/>
      <c r="O142" s="68"/>
      <c r="P142" s="68"/>
      <c r="Q142" s="68"/>
      <c r="R142" s="68"/>
      <c r="S142" s="68"/>
      <c r="T142" s="68"/>
      <c r="V142" s="68"/>
      <c r="W142" s="68"/>
      <c r="X142" s="68"/>
      <c r="AK142" s="54"/>
      <c r="AL142" s="78" t="str">
        <f t="shared" ref="AL142:AL205" si="2">IF(AK142="","",VLOOKUP(AK142,SEGUIMIENTOS,2,FALSE))</f>
        <v/>
      </c>
      <c r="AO142" s="85"/>
      <c r="AQ142" s="85"/>
      <c r="AS142" s="85"/>
      <c r="AU142" s="78"/>
    </row>
    <row r="143" spans="11:47" x14ac:dyDescent="0.2">
      <c r="K143" s="68"/>
      <c r="L143" s="68"/>
      <c r="M143" s="68"/>
      <c r="O143" s="68"/>
      <c r="P143" s="68"/>
      <c r="Q143" s="68"/>
      <c r="R143" s="68"/>
      <c r="S143" s="68"/>
      <c r="T143" s="68"/>
      <c r="V143" s="68"/>
      <c r="W143" s="68"/>
      <c r="X143" s="68"/>
      <c r="AK143" s="54"/>
      <c r="AL143" s="78" t="str">
        <f t="shared" si="2"/>
        <v/>
      </c>
      <c r="AO143" s="85"/>
      <c r="AQ143" s="85"/>
      <c r="AS143" s="85"/>
      <c r="AU143" s="78"/>
    </row>
    <row r="144" spans="11:47" x14ac:dyDescent="0.2">
      <c r="K144" s="68"/>
      <c r="L144" s="68"/>
      <c r="M144" s="68"/>
      <c r="O144" s="68"/>
      <c r="P144" s="68"/>
      <c r="Q144" s="68"/>
      <c r="R144" s="68"/>
      <c r="S144" s="68"/>
      <c r="T144" s="68"/>
      <c r="V144" s="68"/>
      <c r="W144" s="68"/>
      <c r="X144" s="68"/>
      <c r="AK144" s="54"/>
      <c r="AL144" s="78" t="str">
        <f t="shared" si="2"/>
        <v/>
      </c>
      <c r="AO144" s="85"/>
      <c r="AQ144" s="85"/>
      <c r="AS144" s="85"/>
      <c r="AU144" s="78"/>
    </row>
    <row r="145" spans="11:47" x14ac:dyDescent="0.2">
      <c r="K145" s="68"/>
      <c r="L145" s="68"/>
      <c r="M145" s="68"/>
      <c r="O145" s="68"/>
      <c r="P145" s="68"/>
      <c r="Q145" s="68"/>
      <c r="R145" s="68"/>
      <c r="S145" s="68"/>
      <c r="T145" s="68"/>
      <c r="V145" s="68"/>
      <c r="W145" s="68"/>
      <c r="X145" s="68"/>
      <c r="AK145" s="54"/>
      <c r="AL145" s="78" t="str">
        <f t="shared" si="2"/>
        <v/>
      </c>
      <c r="AO145" s="85"/>
      <c r="AQ145" s="85"/>
      <c r="AS145" s="85"/>
      <c r="AU145" s="78"/>
    </row>
    <row r="146" spans="11:47" x14ac:dyDescent="0.2">
      <c r="K146" s="68"/>
      <c r="L146" s="68"/>
      <c r="M146" s="68"/>
      <c r="O146" s="68"/>
      <c r="P146" s="68"/>
      <c r="Q146" s="68"/>
      <c r="R146" s="68"/>
      <c r="S146" s="68"/>
      <c r="T146" s="68"/>
      <c r="V146" s="68"/>
      <c r="W146" s="68"/>
      <c r="X146" s="68"/>
      <c r="AK146" s="54"/>
      <c r="AL146" s="78" t="str">
        <f t="shared" si="2"/>
        <v/>
      </c>
      <c r="AO146" s="85"/>
      <c r="AQ146" s="85"/>
      <c r="AS146" s="85"/>
      <c r="AU146" s="78"/>
    </row>
    <row r="147" spans="11:47" x14ac:dyDescent="0.2">
      <c r="K147" s="68"/>
      <c r="L147" s="68"/>
      <c r="M147" s="68"/>
      <c r="O147" s="68"/>
      <c r="P147" s="68"/>
      <c r="Q147" s="68"/>
      <c r="R147" s="68"/>
      <c r="S147" s="68"/>
      <c r="T147" s="68"/>
      <c r="V147" s="68"/>
      <c r="W147" s="68"/>
      <c r="X147" s="68"/>
      <c r="AK147" s="54"/>
      <c r="AL147" s="78" t="str">
        <f t="shared" si="2"/>
        <v/>
      </c>
      <c r="AO147" s="85"/>
      <c r="AQ147" s="85"/>
      <c r="AS147" s="85"/>
      <c r="AU147" s="78"/>
    </row>
    <row r="148" spans="11:47" x14ac:dyDescent="0.2">
      <c r="K148" s="68"/>
      <c r="L148" s="68"/>
      <c r="M148" s="68"/>
      <c r="O148" s="68"/>
      <c r="P148" s="68"/>
      <c r="Q148" s="68"/>
      <c r="R148" s="68"/>
      <c r="S148" s="68"/>
      <c r="T148" s="68"/>
      <c r="V148" s="68"/>
      <c r="W148" s="68"/>
      <c r="X148" s="68"/>
      <c r="AK148" s="54"/>
      <c r="AL148" s="78" t="str">
        <f t="shared" si="2"/>
        <v/>
      </c>
      <c r="AO148" s="85"/>
      <c r="AQ148" s="85"/>
      <c r="AS148" s="85"/>
      <c r="AU148" s="78"/>
    </row>
    <row r="149" spans="11:47" x14ac:dyDescent="0.2">
      <c r="K149" s="68"/>
      <c r="L149" s="68"/>
      <c r="M149" s="68"/>
      <c r="O149" s="68"/>
      <c r="P149" s="68"/>
      <c r="Q149" s="68"/>
      <c r="R149" s="68"/>
      <c r="S149" s="68"/>
      <c r="T149" s="68"/>
      <c r="V149" s="68"/>
      <c r="W149" s="68"/>
      <c r="X149" s="68"/>
      <c r="AK149" s="54"/>
      <c r="AL149" s="78" t="str">
        <f t="shared" si="2"/>
        <v/>
      </c>
      <c r="AO149" s="85"/>
      <c r="AQ149" s="85"/>
      <c r="AS149" s="85"/>
      <c r="AU149" s="78"/>
    </row>
    <row r="150" spans="11:47" x14ac:dyDescent="0.2">
      <c r="K150" s="68"/>
      <c r="L150" s="68"/>
      <c r="M150" s="68"/>
      <c r="O150" s="68"/>
      <c r="P150" s="68"/>
      <c r="Q150" s="68"/>
      <c r="R150" s="68"/>
      <c r="S150" s="68"/>
      <c r="T150" s="68"/>
      <c r="V150" s="68"/>
      <c r="W150" s="68"/>
      <c r="X150" s="68"/>
      <c r="AK150" s="54"/>
      <c r="AL150" s="78" t="str">
        <f t="shared" si="2"/>
        <v/>
      </c>
      <c r="AO150" s="85"/>
      <c r="AQ150" s="85"/>
      <c r="AS150" s="85"/>
      <c r="AU150" s="78"/>
    </row>
    <row r="151" spans="11:47" x14ac:dyDescent="0.2">
      <c r="AL151" s="78" t="str">
        <f t="shared" si="2"/>
        <v/>
      </c>
      <c r="AO151" s="85"/>
      <c r="AQ151" s="85"/>
      <c r="AS151" s="85"/>
      <c r="AU151" s="78"/>
    </row>
    <row r="152" spans="11:47" x14ac:dyDescent="0.2">
      <c r="AL152" s="78" t="str">
        <f t="shared" si="2"/>
        <v/>
      </c>
      <c r="AO152" s="85"/>
      <c r="AQ152" s="85"/>
      <c r="AS152" s="85"/>
      <c r="AU152" s="78"/>
    </row>
    <row r="153" spans="11:47" x14ac:dyDescent="0.2">
      <c r="AL153" s="78" t="str">
        <f t="shared" si="2"/>
        <v/>
      </c>
      <c r="AO153" s="85"/>
      <c r="AQ153" s="85"/>
      <c r="AS153" s="85"/>
      <c r="AU153" s="78"/>
    </row>
    <row r="154" spans="11:47" x14ac:dyDescent="0.2">
      <c r="AL154" s="78" t="str">
        <f t="shared" si="2"/>
        <v/>
      </c>
      <c r="AO154" s="85"/>
      <c r="AQ154" s="85"/>
      <c r="AS154" s="85"/>
      <c r="AU154" s="78"/>
    </row>
    <row r="155" spans="11:47" x14ac:dyDescent="0.2">
      <c r="AL155" s="78" t="str">
        <f t="shared" si="2"/>
        <v/>
      </c>
      <c r="AO155" s="85"/>
      <c r="AQ155" s="85"/>
      <c r="AS155" s="85"/>
      <c r="AU155" s="78"/>
    </row>
    <row r="156" spans="11:47" x14ac:dyDescent="0.2">
      <c r="AL156" s="78" t="str">
        <f t="shared" si="2"/>
        <v/>
      </c>
      <c r="AO156" s="85"/>
      <c r="AQ156" s="85"/>
      <c r="AS156" s="85"/>
      <c r="AU156" s="78"/>
    </row>
    <row r="157" spans="11:47" x14ac:dyDescent="0.2">
      <c r="AL157" s="78" t="str">
        <f t="shared" si="2"/>
        <v/>
      </c>
      <c r="AO157" s="85"/>
      <c r="AQ157" s="85"/>
      <c r="AS157" s="85"/>
      <c r="AU157" s="78"/>
    </row>
    <row r="158" spans="11:47" x14ac:dyDescent="0.2">
      <c r="AL158" s="78" t="str">
        <f t="shared" si="2"/>
        <v/>
      </c>
      <c r="AO158" s="85"/>
      <c r="AQ158" s="85"/>
      <c r="AS158" s="85"/>
      <c r="AU158" s="78"/>
    </row>
    <row r="159" spans="11:47" x14ac:dyDescent="0.2">
      <c r="AL159" s="78" t="str">
        <f t="shared" si="2"/>
        <v/>
      </c>
      <c r="AO159" s="85"/>
      <c r="AQ159" s="85"/>
      <c r="AS159" s="85"/>
      <c r="AU159" s="78"/>
    </row>
    <row r="160" spans="11:47" x14ac:dyDescent="0.2">
      <c r="AL160" s="78" t="str">
        <f t="shared" si="2"/>
        <v/>
      </c>
      <c r="AO160" s="85"/>
      <c r="AQ160" s="85"/>
      <c r="AS160" s="85"/>
      <c r="AU160" s="78"/>
    </row>
    <row r="161" spans="38:47" x14ac:dyDescent="0.2">
      <c r="AL161" s="78" t="str">
        <f t="shared" si="2"/>
        <v/>
      </c>
      <c r="AO161" s="85"/>
      <c r="AQ161" s="85"/>
      <c r="AS161" s="85"/>
      <c r="AU161" s="78"/>
    </row>
    <row r="162" spans="38:47" x14ac:dyDescent="0.2">
      <c r="AL162" s="78" t="str">
        <f t="shared" si="2"/>
        <v/>
      </c>
      <c r="AO162" s="85"/>
      <c r="AQ162" s="85"/>
      <c r="AS162" s="85"/>
      <c r="AU162" s="78"/>
    </row>
    <row r="163" spans="38:47" x14ac:dyDescent="0.2">
      <c r="AL163" s="78" t="str">
        <f t="shared" si="2"/>
        <v/>
      </c>
      <c r="AO163" s="85"/>
      <c r="AQ163" s="85"/>
      <c r="AS163" s="85"/>
      <c r="AU163" s="78"/>
    </row>
    <row r="164" spans="38:47" x14ac:dyDescent="0.2">
      <c r="AL164" s="78" t="str">
        <f t="shared" si="2"/>
        <v/>
      </c>
      <c r="AO164" s="85"/>
      <c r="AQ164" s="85"/>
      <c r="AS164" s="85"/>
      <c r="AU164" s="78"/>
    </row>
    <row r="165" spans="38:47" x14ac:dyDescent="0.2">
      <c r="AL165" s="78" t="str">
        <f t="shared" si="2"/>
        <v/>
      </c>
      <c r="AO165" s="85"/>
      <c r="AQ165" s="85"/>
      <c r="AS165" s="85"/>
      <c r="AU165" s="78"/>
    </row>
    <row r="166" spans="38:47" x14ac:dyDescent="0.2">
      <c r="AL166" s="78" t="str">
        <f t="shared" si="2"/>
        <v/>
      </c>
      <c r="AO166" s="85"/>
      <c r="AQ166" s="85"/>
      <c r="AS166" s="85"/>
      <c r="AU166" s="78"/>
    </row>
    <row r="167" spans="38:47" x14ac:dyDescent="0.2">
      <c r="AL167" s="78" t="str">
        <f t="shared" si="2"/>
        <v/>
      </c>
      <c r="AO167" s="85"/>
      <c r="AQ167" s="85"/>
      <c r="AS167" s="85"/>
      <c r="AU167" s="78"/>
    </row>
    <row r="168" spans="38:47" x14ac:dyDescent="0.2">
      <c r="AL168" s="78" t="str">
        <f t="shared" si="2"/>
        <v/>
      </c>
      <c r="AO168" s="85"/>
      <c r="AQ168" s="85"/>
      <c r="AS168" s="85"/>
      <c r="AU168" s="78"/>
    </row>
    <row r="169" spans="38:47" x14ac:dyDescent="0.2">
      <c r="AL169" s="78" t="str">
        <f t="shared" si="2"/>
        <v/>
      </c>
      <c r="AO169" s="85"/>
      <c r="AQ169" s="85"/>
      <c r="AS169" s="85"/>
      <c r="AU169" s="78"/>
    </row>
    <row r="170" spans="38:47" x14ac:dyDescent="0.2">
      <c r="AL170" s="78" t="str">
        <f t="shared" si="2"/>
        <v/>
      </c>
      <c r="AO170" s="85"/>
      <c r="AQ170" s="85"/>
      <c r="AS170" s="85"/>
      <c r="AU170" s="78"/>
    </row>
    <row r="171" spans="38:47" x14ac:dyDescent="0.2">
      <c r="AL171" s="78" t="str">
        <f t="shared" si="2"/>
        <v/>
      </c>
      <c r="AO171" s="85"/>
      <c r="AQ171" s="85"/>
      <c r="AS171" s="85"/>
      <c r="AU171" s="78"/>
    </row>
    <row r="172" spans="38:47" x14ac:dyDescent="0.2">
      <c r="AL172" s="78" t="str">
        <f t="shared" si="2"/>
        <v/>
      </c>
      <c r="AO172" s="85"/>
      <c r="AQ172" s="85"/>
      <c r="AS172" s="85"/>
      <c r="AU172" s="78"/>
    </row>
    <row r="173" spans="38:47" x14ac:dyDescent="0.2">
      <c r="AL173" s="78" t="str">
        <f t="shared" si="2"/>
        <v/>
      </c>
      <c r="AO173" s="85"/>
      <c r="AQ173" s="85"/>
      <c r="AS173" s="85"/>
      <c r="AU173" s="78"/>
    </row>
    <row r="174" spans="38:47" x14ac:dyDescent="0.2">
      <c r="AL174" s="78" t="str">
        <f t="shared" si="2"/>
        <v/>
      </c>
      <c r="AO174" s="85"/>
      <c r="AQ174" s="85"/>
      <c r="AS174" s="85"/>
      <c r="AU174" s="78"/>
    </row>
    <row r="175" spans="38:47" x14ac:dyDescent="0.2">
      <c r="AL175" s="78" t="str">
        <f t="shared" si="2"/>
        <v/>
      </c>
      <c r="AO175" s="85"/>
      <c r="AQ175" s="85"/>
      <c r="AS175" s="85"/>
      <c r="AU175" s="78"/>
    </row>
    <row r="176" spans="38:47" x14ac:dyDescent="0.2">
      <c r="AL176" s="78" t="str">
        <f t="shared" si="2"/>
        <v/>
      </c>
      <c r="AO176" s="85"/>
      <c r="AQ176" s="85"/>
      <c r="AS176" s="85"/>
      <c r="AU176" s="78"/>
    </row>
    <row r="177" spans="38:47" x14ac:dyDescent="0.2">
      <c r="AL177" s="78" t="str">
        <f t="shared" si="2"/>
        <v/>
      </c>
      <c r="AO177" s="85"/>
      <c r="AQ177" s="85"/>
      <c r="AS177" s="85"/>
      <c r="AU177" s="78"/>
    </row>
    <row r="178" spans="38:47" x14ac:dyDescent="0.2">
      <c r="AL178" s="78" t="str">
        <f t="shared" si="2"/>
        <v/>
      </c>
      <c r="AO178" s="85"/>
      <c r="AQ178" s="85"/>
      <c r="AS178" s="85"/>
      <c r="AU178" s="78"/>
    </row>
    <row r="179" spans="38:47" x14ac:dyDescent="0.2">
      <c r="AL179" s="78" t="str">
        <f t="shared" si="2"/>
        <v/>
      </c>
      <c r="AO179" s="85"/>
      <c r="AQ179" s="85"/>
      <c r="AS179" s="85"/>
      <c r="AU179" s="78"/>
    </row>
    <row r="180" spans="38:47" x14ac:dyDescent="0.2">
      <c r="AL180" s="78" t="str">
        <f t="shared" si="2"/>
        <v/>
      </c>
      <c r="AO180" s="85"/>
      <c r="AQ180" s="85"/>
      <c r="AS180" s="85"/>
      <c r="AU180" s="78"/>
    </row>
    <row r="181" spans="38:47" x14ac:dyDescent="0.2">
      <c r="AL181" s="78" t="str">
        <f t="shared" si="2"/>
        <v/>
      </c>
      <c r="AO181" s="85"/>
      <c r="AQ181" s="85"/>
      <c r="AS181" s="85"/>
      <c r="AU181" s="78"/>
    </row>
    <row r="182" spans="38:47" x14ac:dyDescent="0.2">
      <c r="AL182" s="78" t="str">
        <f t="shared" si="2"/>
        <v/>
      </c>
      <c r="AO182" s="85"/>
      <c r="AQ182" s="85"/>
      <c r="AS182" s="85"/>
      <c r="AU182" s="78"/>
    </row>
    <row r="183" spans="38:47" x14ac:dyDescent="0.2">
      <c r="AL183" s="78" t="str">
        <f t="shared" si="2"/>
        <v/>
      </c>
      <c r="AO183" s="85"/>
      <c r="AQ183" s="85"/>
      <c r="AS183" s="85"/>
      <c r="AU183" s="78"/>
    </row>
    <row r="184" spans="38:47" x14ac:dyDescent="0.2">
      <c r="AL184" s="78" t="str">
        <f t="shared" si="2"/>
        <v/>
      </c>
      <c r="AO184" s="85"/>
      <c r="AQ184" s="85"/>
      <c r="AS184" s="85"/>
      <c r="AU184" s="78"/>
    </row>
    <row r="185" spans="38:47" x14ac:dyDescent="0.2">
      <c r="AL185" s="78" t="str">
        <f t="shared" si="2"/>
        <v/>
      </c>
      <c r="AO185" s="85"/>
      <c r="AQ185" s="85"/>
      <c r="AS185" s="85"/>
      <c r="AU185" s="78"/>
    </row>
    <row r="186" spans="38:47" x14ac:dyDescent="0.2">
      <c r="AL186" s="78" t="str">
        <f t="shared" si="2"/>
        <v/>
      </c>
      <c r="AO186" s="85"/>
      <c r="AQ186" s="85"/>
      <c r="AS186" s="85"/>
      <c r="AU186" s="78"/>
    </row>
    <row r="187" spans="38:47" x14ac:dyDescent="0.2">
      <c r="AL187" s="78" t="str">
        <f t="shared" si="2"/>
        <v/>
      </c>
      <c r="AO187" s="85"/>
      <c r="AQ187" s="85"/>
      <c r="AS187" s="85"/>
      <c r="AU187" s="78"/>
    </row>
    <row r="188" spans="38:47" x14ac:dyDescent="0.2">
      <c r="AL188" s="78" t="str">
        <f t="shared" si="2"/>
        <v/>
      </c>
      <c r="AO188" s="85"/>
      <c r="AQ188" s="85"/>
      <c r="AS188" s="85"/>
      <c r="AU188" s="78"/>
    </row>
    <row r="189" spans="38:47" x14ac:dyDescent="0.2">
      <c r="AL189" s="78" t="str">
        <f t="shared" si="2"/>
        <v/>
      </c>
      <c r="AO189" s="85"/>
      <c r="AQ189" s="85"/>
      <c r="AS189" s="85"/>
      <c r="AU189" s="78"/>
    </row>
    <row r="190" spans="38:47" x14ac:dyDescent="0.2">
      <c r="AL190" s="78" t="str">
        <f t="shared" si="2"/>
        <v/>
      </c>
      <c r="AO190" s="85"/>
      <c r="AQ190" s="85"/>
      <c r="AS190" s="85"/>
      <c r="AU190" s="78"/>
    </row>
    <row r="191" spans="38:47" x14ac:dyDescent="0.2">
      <c r="AL191" s="78" t="str">
        <f t="shared" si="2"/>
        <v/>
      </c>
      <c r="AO191" s="85"/>
      <c r="AQ191" s="85"/>
      <c r="AS191" s="85"/>
      <c r="AU191" s="78"/>
    </row>
    <row r="192" spans="38:47" x14ac:dyDescent="0.2">
      <c r="AL192" s="78" t="str">
        <f t="shared" si="2"/>
        <v/>
      </c>
      <c r="AO192" s="85"/>
      <c r="AQ192" s="85"/>
      <c r="AS192" s="85"/>
      <c r="AU192" s="78"/>
    </row>
    <row r="193" spans="38:47" x14ac:dyDescent="0.2">
      <c r="AL193" s="78" t="str">
        <f t="shared" si="2"/>
        <v/>
      </c>
      <c r="AO193" s="85"/>
      <c r="AQ193" s="85"/>
      <c r="AS193" s="85"/>
      <c r="AU193" s="78"/>
    </row>
    <row r="194" spans="38:47" x14ac:dyDescent="0.2">
      <c r="AL194" s="78" t="str">
        <f t="shared" si="2"/>
        <v/>
      </c>
      <c r="AO194" s="85"/>
      <c r="AQ194" s="85"/>
      <c r="AS194" s="85"/>
      <c r="AU194" s="78"/>
    </row>
    <row r="195" spans="38:47" x14ac:dyDescent="0.2">
      <c r="AL195" s="78" t="str">
        <f t="shared" si="2"/>
        <v/>
      </c>
      <c r="AO195" s="85"/>
      <c r="AQ195" s="85"/>
      <c r="AS195" s="85"/>
      <c r="AU195" s="78"/>
    </row>
    <row r="196" spans="38:47" x14ac:dyDescent="0.2">
      <c r="AL196" s="78" t="str">
        <f t="shared" si="2"/>
        <v/>
      </c>
      <c r="AO196" s="85"/>
      <c r="AQ196" s="85"/>
      <c r="AS196" s="85"/>
      <c r="AU196" s="78"/>
    </row>
    <row r="197" spans="38:47" x14ac:dyDescent="0.2">
      <c r="AL197" s="78" t="str">
        <f t="shared" si="2"/>
        <v/>
      </c>
      <c r="AO197" s="85"/>
      <c r="AQ197" s="85"/>
      <c r="AS197" s="85"/>
      <c r="AU197" s="78"/>
    </row>
    <row r="198" spans="38:47" x14ac:dyDescent="0.2">
      <c r="AL198" s="78" t="str">
        <f t="shared" si="2"/>
        <v/>
      </c>
      <c r="AO198" s="85"/>
      <c r="AQ198" s="85"/>
      <c r="AS198" s="85"/>
      <c r="AU198" s="78"/>
    </row>
    <row r="199" spans="38:47" x14ac:dyDescent="0.2">
      <c r="AL199" s="78" t="str">
        <f t="shared" si="2"/>
        <v/>
      </c>
      <c r="AO199" s="85"/>
      <c r="AQ199" s="85"/>
      <c r="AS199" s="85"/>
      <c r="AU199" s="78"/>
    </row>
    <row r="200" spans="38:47" x14ac:dyDescent="0.2">
      <c r="AL200" s="78" t="str">
        <f t="shared" si="2"/>
        <v/>
      </c>
      <c r="AO200" s="85"/>
      <c r="AQ200" s="85"/>
      <c r="AS200" s="85"/>
      <c r="AU200" s="78"/>
    </row>
    <row r="201" spans="38:47" x14ac:dyDescent="0.2">
      <c r="AL201" s="78" t="str">
        <f t="shared" si="2"/>
        <v/>
      </c>
      <c r="AO201" s="85"/>
      <c r="AQ201" s="85"/>
      <c r="AS201" s="85"/>
      <c r="AU201" s="78"/>
    </row>
    <row r="202" spans="38:47" x14ac:dyDescent="0.2">
      <c r="AL202" s="78" t="str">
        <f t="shared" si="2"/>
        <v/>
      </c>
      <c r="AO202" s="85"/>
      <c r="AQ202" s="85"/>
      <c r="AS202" s="85"/>
      <c r="AU202" s="78"/>
    </row>
    <row r="203" spans="38:47" x14ac:dyDescent="0.2">
      <c r="AL203" s="78" t="str">
        <f t="shared" si="2"/>
        <v/>
      </c>
      <c r="AO203" s="85"/>
      <c r="AQ203" s="85"/>
      <c r="AS203" s="85"/>
      <c r="AU203" s="78"/>
    </row>
    <row r="204" spans="38:47" x14ac:dyDescent="0.2">
      <c r="AL204" s="78" t="str">
        <f t="shared" si="2"/>
        <v/>
      </c>
      <c r="AO204" s="85"/>
      <c r="AQ204" s="85"/>
      <c r="AS204" s="85"/>
      <c r="AU204" s="78"/>
    </row>
    <row r="205" spans="38:47" x14ac:dyDescent="0.2">
      <c r="AL205" s="78" t="str">
        <f t="shared" si="2"/>
        <v/>
      </c>
      <c r="AO205" s="85"/>
      <c r="AQ205" s="85"/>
      <c r="AS205" s="85"/>
      <c r="AU205" s="78"/>
    </row>
    <row r="206" spans="38:47" x14ac:dyDescent="0.2">
      <c r="AL206" s="78" t="str">
        <f t="shared" ref="AL206:AL269" si="3">IF(AK206="","",VLOOKUP(AK206,SEGUIMIENTOS,2,FALSE))</f>
        <v/>
      </c>
      <c r="AO206" s="85"/>
      <c r="AQ206" s="85"/>
      <c r="AS206" s="85"/>
      <c r="AU206" s="78"/>
    </row>
    <row r="207" spans="38:47" x14ac:dyDescent="0.2">
      <c r="AL207" s="78" t="str">
        <f t="shared" si="3"/>
        <v/>
      </c>
      <c r="AO207" s="85"/>
      <c r="AQ207" s="85"/>
      <c r="AS207" s="85"/>
      <c r="AU207" s="78"/>
    </row>
    <row r="208" spans="38:47" x14ac:dyDescent="0.2">
      <c r="AL208" s="78" t="str">
        <f t="shared" si="3"/>
        <v/>
      </c>
      <c r="AO208" s="85"/>
      <c r="AQ208" s="85"/>
      <c r="AS208" s="85"/>
      <c r="AU208" s="78"/>
    </row>
    <row r="209" spans="38:47" x14ac:dyDescent="0.2">
      <c r="AL209" s="78" t="str">
        <f t="shared" si="3"/>
        <v/>
      </c>
      <c r="AO209" s="85"/>
      <c r="AQ209" s="85"/>
      <c r="AS209" s="85"/>
      <c r="AU209" s="78"/>
    </row>
    <row r="210" spans="38:47" x14ac:dyDescent="0.2">
      <c r="AL210" s="78" t="str">
        <f t="shared" si="3"/>
        <v/>
      </c>
      <c r="AO210" s="85"/>
      <c r="AQ210" s="85"/>
      <c r="AS210" s="85"/>
      <c r="AU210" s="78"/>
    </row>
    <row r="211" spans="38:47" x14ac:dyDescent="0.2">
      <c r="AL211" s="78" t="str">
        <f t="shared" si="3"/>
        <v/>
      </c>
      <c r="AO211" s="85"/>
      <c r="AQ211" s="85"/>
      <c r="AS211" s="85"/>
      <c r="AU211" s="78"/>
    </row>
    <row r="212" spans="38:47" x14ac:dyDescent="0.2">
      <c r="AL212" s="78" t="str">
        <f t="shared" si="3"/>
        <v/>
      </c>
      <c r="AO212" s="85"/>
      <c r="AQ212" s="85"/>
      <c r="AS212" s="85"/>
      <c r="AU212" s="78"/>
    </row>
    <row r="213" spans="38:47" x14ac:dyDescent="0.2">
      <c r="AL213" s="78" t="str">
        <f t="shared" si="3"/>
        <v/>
      </c>
      <c r="AO213" s="85"/>
      <c r="AQ213" s="85"/>
      <c r="AS213" s="85"/>
      <c r="AU213" s="78"/>
    </row>
    <row r="214" spans="38:47" x14ac:dyDescent="0.2">
      <c r="AL214" s="78" t="str">
        <f t="shared" si="3"/>
        <v/>
      </c>
      <c r="AO214" s="85"/>
      <c r="AQ214" s="85"/>
      <c r="AS214" s="85"/>
      <c r="AU214" s="78"/>
    </row>
    <row r="215" spans="38:47" x14ac:dyDescent="0.2">
      <c r="AL215" s="78" t="str">
        <f t="shared" si="3"/>
        <v/>
      </c>
      <c r="AO215" s="85"/>
      <c r="AQ215" s="85"/>
      <c r="AS215" s="85"/>
      <c r="AU215" s="78"/>
    </row>
    <row r="216" spans="38:47" x14ac:dyDescent="0.2">
      <c r="AL216" s="78" t="str">
        <f t="shared" si="3"/>
        <v/>
      </c>
      <c r="AO216" s="85"/>
      <c r="AQ216" s="85"/>
      <c r="AS216" s="85"/>
      <c r="AU216" s="78"/>
    </row>
    <row r="217" spans="38:47" x14ac:dyDescent="0.2">
      <c r="AL217" s="78" t="str">
        <f t="shared" si="3"/>
        <v/>
      </c>
      <c r="AO217" s="85"/>
      <c r="AQ217" s="85"/>
      <c r="AS217" s="85"/>
      <c r="AU217" s="78"/>
    </row>
    <row r="218" spans="38:47" x14ac:dyDescent="0.2">
      <c r="AL218" s="78" t="str">
        <f t="shared" si="3"/>
        <v/>
      </c>
      <c r="AO218" s="85"/>
      <c r="AQ218" s="85"/>
      <c r="AS218" s="85"/>
      <c r="AU218" s="78"/>
    </row>
    <row r="219" spans="38:47" x14ac:dyDescent="0.2">
      <c r="AL219" s="78" t="str">
        <f t="shared" si="3"/>
        <v/>
      </c>
      <c r="AO219" s="85"/>
      <c r="AQ219" s="85"/>
      <c r="AS219" s="85"/>
      <c r="AU219" s="78"/>
    </row>
    <row r="220" spans="38:47" x14ac:dyDescent="0.2">
      <c r="AL220" s="78" t="str">
        <f t="shared" si="3"/>
        <v/>
      </c>
      <c r="AO220" s="85"/>
      <c r="AQ220" s="85"/>
      <c r="AS220" s="85"/>
      <c r="AU220" s="78"/>
    </row>
    <row r="221" spans="38:47" x14ac:dyDescent="0.2">
      <c r="AL221" s="26" t="str">
        <f t="shared" si="3"/>
        <v/>
      </c>
      <c r="AO221" s="85"/>
      <c r="AQ221" s="85"/>
      <c r="AS221" s="85"/>
      <c r="AU221" s="78"/>
    </row>
    <row r="222" spans="38:47" x14ac:dyDescent="0.2">
      <c r="AL222" s="26" t="str">
        <f t="shared" si="3"/>
        <v/>
      </c>
      <c r="AO222" s="85"/>
      <c r="AQ222" s="85"/>
      <c r="AS222" s="85"/>
      <c r="AU222" s="78"/>
    </row>
    <row r="223" spans="38:47" x14ac:dyDescent="0.2">
      <c r="AL223" s="26" t="str">
        <f t="shared" si="3"/>
        <v/>
      </c>
      <c r="AO223" s="85"/>
      <c r="AQ223" s="85"/>
      <c r="AS223" s="85"/>
      <c r="AU223" s="78"/>
    </row>
    <row r="224" spans="38:47" x14ac:dyDescent="0.2">
      <c r="AL224" s="26" t="str">
        <f t="shared" si="3"/>
        <v/>
      </c>
      <c r="AO224" s="85"/>
      <c r="AQ224" s="85"/>
      <c r="AS224" s="85"/>
      <c r="AU224" s="78"/>
    </row>
    <row r="225" spans="38:47" x14ac:dyDescent="0.2">
      <c r="AL225" s="26" t="str">
        <f t="shared" si="3"/>
        <v/>
      </c>
      <c r="AO225" s="85"/>
      <c r="AQ225" s="85"/>
      <c r="AS225" s="85"/>
      <c r="AU225" s="78"/>
    </row>
    <row r="226" spans="38:47" x14ac:dyDescent="0.2">
      <c r="AL226" s="26" t="str">
        <f t="shared" si="3"/>
        <v/>
      </c>
      <c r="AO226" s="85"/>
      <c r="AQ226" s="85"/>
      <c r="AS226" s="85"/>
      <c r="AU226" s="78"/>
    </row>
    <row r="227" spans="38:47" x14ac:dyDescent="0.2">
      <c r="AL227" s="26" t="str">
        <f t="shared" si="3"/>
        <v/>
      </c>
      <c r="AO227" s="85"/>
      <c r="AQ227" s="85"/>
      <c r="AS227" s="85"/>
      <c r="AU227" s="78"/>
    </row>
    <row r="228" spans="38:47" x14ac:dyDescent="0.2">
      <c r="AL228" s="26" t="str">
        <f t="shared" si="3"/>
        <v/>
      </c>
      <c r="AO228" s="85"/>
      <c r="AQ228" s="85"/>
      <c r="AS228" s="85"/>
      <c r="AU228" s="78"/>
    </row>
    <row r="229" spans="38:47" x14ac:dyDescent="0.2">
      <c r="AL229" s="26" t="str">
        <f t="shared" si="3"/>
        <v/>
      </c>
      <c r="AO229" s="85"/>
      <c r="AQ229" s="85"/>
      <c r="AS229" s="85"/>
      <c r="AU229" s="78"/>
    </row>
    <row r="230" spans="38:47" x14ac:dyDescent="0.2">
      <c r="AL230" s="26" t="str">
        <f t="shared" si="3"/>
        <v/>
      </c>
      <c r="AO230" s="85"/>
      <c r="AQ230" s="85"/>
      <c r="AS230" s="85"/>
      <c r="AU230" s="78"/>
    </row>
    <row r="231" spans="38:47" x14ac:dyDescent="0.2">
      <c r="AL231" s="26" t="str">
        <f t="shared" si="3"/>
        <v/>
      </c>
      <c r="AO231" s="85"/>
      <c r="AQ231" s="85"/>
      <c r="AS231" s="85"/>
      <c r="AU231" s="78"/>
    </row>
    <row r="232" spans="38:47" x14ac:dyDescent="0.2">
      <c r="AL232" s="26" t="str">
        <f t="shared" si="3"/>
        <v/>
      </c>
      <c r="AO232" s="85"/>
      <c r="AQ232" s="85"/>
      <c r="AS232" s="85"/>
      <c r="AU232" s="78"/>
    </row>
    <row r="233" spans="38:47" x14ac:dyDescent="0.2">
      <c r="AL233" s="26" t="str">
        <f t="shared" si="3"/>
        <v/>
      </c>
      <c r="AO233" s="85"/>
      <c r="AQ233" s="85"/>
      <c r="AS233" s="85"/>
      <c r="AU233" s="78"/>
    </row>
    <row r="234" spans="38:47" x14ac:dyDescent="0.2">
      <c r="AL234" s="26" t="str">
        <f t="shared" si="3"/>
        <v/>
      </c>
      <c r="AO234" s="85"/>
      <c r="AQ234" s="85"/>
      <c r="AS234" s="85"/>
      <c r="AU234" s="78"/>
    </row>
    <row r="235" spans="38:47" x14ac:dyDescent="0.2">
      <c r="AL235" s="26" t="str">
        <f t="shared" si="3"/>
        <v/>
      </c>
      <c r="AO235" s="85"/>
      <c r="AQ235" s="85"/>
      <c r="AS235" s="85"/>
      <c r="AU235" s="78"/>
    </row>
    <row r="236" spans="38:47" x14ac:dyDescent="0.2">
      <c r="AL236" s="26" t="str">
        <f t="shared" si="3"/>
        <v/>
      </c>
      <c r="AO236" s="85"/>
      <c r="AQ236" s="85"/>
      <c r="AS236" s="85"/>
      <c r="AU236" s="78"/>
    </row>
    <row r="237" spans="38:47" x14ac:dyDescent="0.2">
      <c r="AL237" s="26" t="str">
        <f t="shared" si="3"/>
        <v/>
      </c>
      <c r="AO237" s="85"/>
      <c r="AQ237" s="85"/>
      <c r="AS237" s="85"/>
      <c r="AU237" s="78"/>
    </row>
    <row r="238" spans="38:47" x14ac:dyDescent="0.2">
      <c r="AL238" s="26" t="str">
        <f t="shared" si="3"/>
        <v/>
      </c>
      <c r="AO238" s="85"/>
      <c r="AQ238" s="85"/>
      <c r="AS238" s="85"/>
      <c r="AU238" s="78"/>
    </row>
    <row r="239" spans="38:47" x14ac:dyDescent="0.2">
      <c r="AL239" s="26" t="str">
        <f t="shared" si="3"/>
        <v/>
      </c>
      <c r="AO239" s="85"/>
      <c r="AQ239" s="85"/>
      <c r="AS239" s="85"/>
      <c r="AU239" s="78"/>
    </row>
    <row r="240" spans="38:47" x14ac:dyDescent="0.2">
      <c r="AL240" s="26" t="str">
        <f t="shared" si="3"/>
        <v/>
      </c>
      <c r="AO240" s="85"/>
      <c r="AQ240" s="85"/>
      <c r="AS240" s="85"/>
      <c r="AU240" s="78"/>
    </row>
    <row r="241" spans="38:47" x14ac:dyDescent="0.2">
      <c r="AL241" s="26" t="str">
        <f t="shared" si="3"/>
        <v/>
      </c>
      <c r="AO241" s="85"/>
      <c r="AQ241" s="85"/>
      <c r="AS241" s="85"/>
      <c r="AU241" s="78"/>
    </row>
    <row r="242" spans="38:47" x14ac:dyDescent="0.2">
      <c r="AL242" s="26" t="str">
        <f t="shared" si="3"/>
        <v/>
      </c>
      <c r="AO242" s="85"/>
      <c r="AQ242" s="85"/>
      <c r="AS242" s="85"/>
      <c r="AU242" s="78"/>
    </row>
    <row r="243" spans="38:47" x14ac:dyDescent="0.2">
      <c r="AL243" s="26" t="str">
        <f t="shared" si="3"/>
        <v/>
      </c>
      <c r="AO243" s="85"/>
      <c r="AQ243" s="85"/>
      <c r="AS243" s="85"/>
      <c r="AU243" s="78"/>
    </row>
    <row r="244" spans="38:47" x14ac:dyDescent="0.2">
      <c r="AL244" s="26" t="str">
        <f t="shared" si="3"/>
        <v/>
      </c>
      <c r="AO244" s="85"/>
      <c r="AQ244" s="85"/>
      <c r="AS244" s="85"/>
      <c r="AU244" s="78"/>
    </row>
    <row r="245" spans="38:47" x14ac:dyDescent="0.2">
      <c r="AL245" s="26" t="str">
        <f t="shared" si="3"/>
        <v/>
      </c>
      <c r="AO245" s="85"/>
      <c r="AQ245" s="85"/>
      <c r="AS245" s="85"/>
      <c r="AU245" s="78"/>
    </row>
    <row r="246" spans="38:47" x14ac:dyDescent="0.2">
      <c r="AL246" s="26" t="str">
        <f t="shared" si="3"/>
        <v/>
      </c>
      <c r="AO246" s="85"/>
      <c r="AQ246" s="85"/>
      <c r="AS246" s="85"/>
      <c r="AU246" s="78"/>
    </row>
    <row r="247" spans="38:47" x14ac:dyDescent="0.2">
      <c r="AL247" s="26" t="str">
        <f t="shared" si="3"/>
        <v/>
      </c>
      <c r="AO247" s="85"/>
      <c r="AQ247" s="85"/>
      <c r="AS247" s="85"/>
      <c r="AU247" s="78"/>
    </row>
    <row r="248" spans="38:47" x14ac:dyDescent="0.2">
      <c r="AL248" s="26" t="str">
        <f t="shared" si="3"/>
        <v/>
      </c>
      <c r="AO248" s="85"/>
      <c r="AQ248" s="85"/>
      <c r="AS248" s="85"/>
      <c r="AU248" s="78"/>
    </row>
    <row r="249" spans="38:47" x14ac:dyDescent="0.2">
      <c r="AL249" s="26" t="str">
        <f t="shared" si="3"/>
        <v/>
      </c>
      <c r="AO249" s="85"/>
      <c r="AQ249" s="85"/>
      <c r="AS249" s="85"/>
      <c r="AU249" s="78"/>
    </row>
    <row r="250" spans="38:47" x14ac:dyDescent="0.2">
      <c r="AL250" s="26" t="str">
        <f t="shared" si="3"/>
        <v/>
      </c>
      <c r="AO250" s="85"/>
      <c r="AQ250" s="85"/>
      <c r="AS250" s="85"/>
      <c r="AU250" s="78"/>
    </row>
    <row r="251" spans="38:47" x14ac:dyDescent="0.2">
      <c r="AL251" s="26" t="str">
        <f t="shared" si="3"/>
        <v/>
      </c>
      <c r="AO251" s="85"/>
      <c r="AQ251" s="85"/>
      <c r="AS251" s="85"/>
      <c r="AU251" s="78"/>
    </row>
    <row r="252" spans="38:47" x14ac:dyDescent="0.2">
      <c r="AL252" s="26" t="str">
        <f t="shared" si="3"/>
        <v/>
      </c>
      <c r="AO252" s="85"/>
      <c r="AQ252" s="85"/>
      <c r="AS252" s="85"/>
      <c r="AU252" s="78"/>
    </row>
    <row r="253" spans="38:47" x14ac:dyDescent="0.2">
      <c r="AL253" s="26" t="str">
        <f t="shared" si="3"/>
        <v/>
      </c>
      <c r="AO253" s="85"/>
      <c r="AQ253" s="85"/>
      <c r="AS253" s="85"/>
      <c r="AU253" s="78"/>
    </row>
    <row r="254" spans="38:47" x14ac:dyDescent="0.2">
      <c r="AL254" s="26" t="str">
        <f t="shared" si="3"/>
        <v/>
      </c>
      <c r="AO254" s="85"/>
      <c r="AQ254" s="85"/>
      <c r="AS254" s="85"/>
      <c r="AU254" s="78"/>
    </row>
    <row r="255" spans="38:47" x14ac:dyDescent="0.2">
      <c r="AL255" s="26" t="str">
        <f t="shared" si="3"/>
        <v/>
      </c>
      <c r="AO255" s="85"/>
      <c r="AQ255" s="85"/>
      <c r="AS255" s="85"/>
      <c r="AU255" s="78"/>
    </row>
    <row r="256" spans="38:47" x14ac:dyDescent="0.2">
      <c r="AL256" s="26" t="str">
        <f t="shared" si="3"/>
        <v/>
      </c>
      <c r="AO256" s="85"/>
      <c r="AQ256" s="85"/>
      <c r="AS256" s="85"/>
      <c r="AU256" s="78"/>
    </row>
    <row r="257" spans="38:47" x14ac:dyDescent="0.2">
      <c r="AL257" s="26" t="str">
        <f t="shared" si="3"/>
        <v/>
      </c>
      <c r="AO257" s="85"/>
      <c r="AQ257" s="85"/>
      <c r="AS257" s="85"/>
      <c r="AU257" s="78"/>
    </row>
    <row r="258" spans="38:47" x14ac:dyDescent="0.2">
      <c r="AL258" s="26" t="str">
        <f t="shared" si="3"/>
        <v/>
      </c>
      <c r="AO258" s="85"/>
      <c r="AQ258" s="85"/>
      <c r="AS258" s="85"/>
      <c r="AU258" s="78"/>
    </row>
    <row r="259" spans="38:47" x14ac:dyDescent="0.2">
      <c r="AL259" s="26" t="str">
        <f t="shared" si="3"/>
        <v/>
      </c>
      <c r="AO259" s="85"/>
      <c r="AQ259" s="85"/>
      <c r="AS259" s="85"/>
      <c r="AU259" s="78"/>
    </row>
    <row r="260" spans="38:47" x14ac:dyDescent="0.2">
      <c r="AL260" s="26" t="str">
        <f t="shared" si="3"/>
        <v/>
      </c>
      <c r="AO260" s="85"/>
      <c r="AQ260" s="85"/>
      <c r="AS260" s="85"/>
      <c r="AU260" s="78"/>
    </row>
    <row r="261" spans="38:47" x14ac:dyDescent="0.2">
      <c r="AL261" s="26" t="str">
        <f t="shared" si="3"/>
        <v/>
      </c>
      <c r="AO261" s="85"/>
      <c r="AQ261" s="85"/>
      <c r="AS261" s="85"/>
      <c r="AU261" s="78"/>
    </row>
    <row r="262" spans="38:47" x14ac:dyDescent="0.2">
      <c r="AL262" s="26" t="str">
        <f t="shared" si="3"/>
        <v/>
      </c>
      <c r="AO262" s="85"/>
      <c r="AQ262" s="85"/>
      <c r="AS262" s="85"/>
      <c r="AU262" s="78"/>
    </row>
    <row r="263" spans="38:47" x14ac:dyDescent="0.2">
      <c r="AL263" s="26" t="str">
        <f t="shared" si="3"/>
        <v/>
      </c>
      <c r="AO263" s="85"/>
      <c r="AQ263" s="85"/>
      <c r="AS263" s="85"/>
      <c r="AU263" s="78"/>
    </row>
    <row r="264" spans="38:47" x14ac:dyDescent="0.2">
      <c r="AL264" s="26" t="str">
        <f t="shared" si="3"/>
        <v/>
      </c>
      <c r="AO264" s="85"/>
      <c r="AQ264" s="85"/>
      <c r="AS264" s="85"/>
      <c r="AU264" s="78"/>
    </row>
    <row r="265" spans="38:47" x14ac:dyDescent="0.2">
      <c r="AL265" s="26" t="str">
        <f t="shared" si="3"/>
        <v/>
      </c>
      <c r="AO265" s="85"/>
      <c r="AQ265" s="85"/>
      <c r="AS265" s="85"/>
      <c r="AU265" s="78"/>
    </row>
    <row r="266" spans="38:47" x14ac:dyDescent="0.2">
      <c r="AL266" s="26" t="str">
        <f t="shared" si="3"/>
        <v/>
      </c>
      <c r="AO266" s="85"/>
      <c r="AQ266" s="85"/>
      <c r="AS266" s="85"/>
      <c r="AU266" s="78"/>
    </row>
    <row r="267" spans="38:47" x14ac:dyDescent="0.2">
      <c r="AL267" s="26" t="str">
        <f t="shared" si="3"/>
        <v/>
      </c>
      <c r="AO267" s="85"/>
      <c r="AQ267" s="85"/>
      <c r="AS267" s="85"/>
      <c r="AU267" s="78"/>
    </row>
    <row r="268" spans="38:47" x14ac:dyDescent="0.2">
      <c r="AL268" s="26" t="str">
        <f t="shared" si="3"/>
        <v/>
      </c>
      <c r="AO268" s="85"/>
      <c r="AQ268" s="85"/>
      <c r="AS268" s="85"/>
      <c r="AU268" s="78"/>
    </row>
    <row r="269" spans="38:47" x14ac:dyDescent="0.2">
      <c r="AL269" s="26" t="str">
        <f t="shared" si="3"/>
        <v/>
      </c>
      <c r="AO269" s="85"/>
      <c r="AQ269" s="85"/>
      <c r="AS269" s="85"/>
      <c r="AU269" s="78"/>
    </row>
    <row r="270" spans="38:47" x14ac:dyDescent="0.2">
      <c r="AL270" s="26" t="str">
        <f t="shared" ref="AL270:AL333" si="4">IF(AK270="","",VLOOKUP(AK270,SEGUIMIENTOS,2,FALSE))</f>
        <v/>
      </c>
      <c r="AO270" s="85"/>
      <c r="AQ270" s="85"/>
      <c r="AS270" s="85"/>
      <c r="AU270" s="78"/>
    </row>
    <row r="271" spans="38:47" x14ac:dyDescent="0.2">
      <c r="AL271" s="26" t="str">
        <f t="shared" si="4"/>
        <v/>
      </c>
      <c r="AO271" s="85"/>
      <c r="AQ271" s="85"/>
      <c r="AS271" s="85"/>
      <c r="AU271" s="78"/>
    </row>
    <row r="272" spans="38:47" x14ac:dyDescent="0.2">
      <c r="AL272" s="26" t="str">
        <f t="shared" si="4"/>
        <v/>
      </c>
      <c r="AO272" s="85"/>
      <c r="AQ272" s="85"/>
      <c r="AS272" s="85"/>
      <c r="AU272" s="78"/>
    </row>
    <row r="273" spans="38:47" x14ac:dyDescent="0.2">
      <c r="AL273" s="26" t="str">
        <f t="shared" si="4"/>
        <v/>
      </c>
      <c r="AO273" s="85"/>
      <c r="AQ273" s="85"/>
      <c r="AS273" s="85"/>
      <c r="AU273" s="78"/>
    </row>
    <row r="274" spans="38:47" x14ac:dyDescent="0.2">
      <c r="AL274" s="26" t="str">
        <f t="shared" si="4"/>
        <v/>
      </c>
      <c r="AO274" s="85"/>
      <c r="AQ274" s="85"/>
      <c r="AS274" s="85"/>
      <c r="AU274" s="78"/>
    </row>
    <row r="275" spans="38:47" x14ac:dyDescent="0.2">
      <c r="AL275" s="26" t="str">
        <f t="shared" si="4"/>
        <v/>
      </c>
      <c r="AO275" s="85"/>
      <c r="AQ275" s="85"/>
      <c r="AS275" s="85"/>
      <c r="AU275" s="78"/>
    </row>
    <row r="276" spans="38:47" x14ac:dyDescent="0.2">
      <c r="AL276" s="26" t="str">
        <f t="shared" si="4"/>
        <v/>
      </c>
      <c r="AO276" s="85"/>
      <c r="AQ276" s="85"/>
      <c r="AS276" s="85"/>
      <c r="AU276" s="78"/>
    </row>
    <row r="277" spans="38:47" x14ac:dyDescent="0.2">
      <c r="AL277" s="26" t="str">
        <f t="shared" si="4"/>
        <v/>
      </c>
      <c r="AO277" s="85"/>
      <c r="AQ277" s="85"/>
      <c r="AS277" s="85"/>
      <c r="AU277" s="78"/>
    </row>
    <row r="278" spans="38:47" x14ac:dyDescent="0.2">
      <c r="AL278" s="26" t="str">
        <f t="shared" si="4"/>
        <v/>
      </c>
      <c r="AO278" s="85"/>
      <c r="AQ278" s="85"/>
      <c r="AS278" s="85"/>
      <c r="AU278" s="78"/>
    </row>
    <row r="279" spans="38:47" x14ac:dyDescent="0.2">
      <c r="AL279" s="26" t="str">
        <f t="shared" si="4"/>
        <v/>
      </c>
      <c r="AO279" s="85"/>
      <c r="AQ279" s="85"/>
      <c r="AS279" s="85"/>
      <c r="AU279" s="78"/>
    </row>
    <row r="280" spans="38:47" x14ac:dyDescent="0.2">
      <c r="AL280" s="26" t="str">
        <f t="shared" si="4"/>
        <v/>
      </c>
      <c r="AO280" s="85"/>
      <c r="AQ280" s="85"/>
      <c r="AS280" s="85"/>
      <c r="AU280" s="78"/>
    </row>
    <row r="281" spans="38:47" x14ac:dyDescent="0.2">
      <c r="AL281" s="26" t="str">
        <f t="shared" si="4"/>
        <v/>
      </c>
      <c r="AO281" s="85"/>
      <c r="AQ281" s="85"/>
      <c r="AS281" s="85"/>
      <c r="AU281" s="78"/>
    </row>
    <row r="282" spans="38:47" x14ac:dyDescent="0.2">
      <c r="AL282" s="26" t="str">
        <f t="shared" si="4"/>
        <v/>
      </c>
      <c r="AO282" s="85"/>
      <c r="AQ282" s="85"/>
      <c r="AS282" s="85"/>
      <c r="AU282" s="78"/>
    </row>
    <row r="283" spans="38:47" x14ac:dyDescent="0.2">
      <c r="AL283" s="26" t="str">
        <f t="shared" si="4"/>
        <v/>
      </c>
      <c r="AO283" s="85"/>
      <c r="AQ283" s="85"/>
      <c r="AS283" s="85"/>
      <c r="AU283" s="78"/>
    </row>
    <row r="284" spans="38:47" x14ac:dyDescent="0.2">
      <c r="AL284" s="26" t="str">
        <f t="shared" si="4"/>
        <v/>
      </c>
      <c r="AO284" s="85"/>
      <c r="AQ284" s="85"/>
      <c r="AS284" s="85"/>
      <c r="AU284" s="78"/>
    </row>
    <row r="285" spans="38:47" x14ac:dyDescent="0.2">
      <c r="AL285" s="26" t="str">
        <f t="shared" si="4"/>
        <v/>
      </c>
      <c r="AO285" s="85"/>
      <c r="AQ285" s="85"/>
      <c r="AS285" s="85"/>
      <c r="AU285" s="78"/>
    </row>
    <row r="286" spans="38:47" x14ac:dyDescent="0.2">
      <c r="AL286" s="26" t="str">
        <f t="shared" si="4"/>
        <v/>
      </c>
      <c r="AO286" s="85"/>
      <c r="AQ286" s="85"/>
      <c r="AS286" s="85"/>
      <c r="AU286" s="78"/>
    </row>
    <row r="287" spans="38:47" x14ac:dyDescent="0.2">
      <c r="AL287" s="26" t="str">
        <f t="shared" si="4"/>
        <v/>
      </c>
      <c r="AO287" s="85"/>
      <c r="AQ287" s="85"/>
      <c r="AS287" s="85"/>
      <c r="AU287" s="78"/>
    </row>
    <row r="288" spans="38:47" x14ac:dyDescent="0.2">
      <c r="AL288" s="26" t="str">
        <f t="shared" si="4"/>
        <v/>
      </c>
      <c r="AO288" s="85"/>
      <c r="AQ288" s="85"/>
      <c r="AS288" s="85"/>
      <c r="AU288" s="78"/>
    </row>
    <row r="289" spans="38:47" x14ac:dyDescent="0.2">
      <c r="AL289" s="26" t="str">
        <f t="shared" si="4"/>
        <v/>
      </c>
      <c r="AO289" s="85"/>
      <c r="AQ289" s="85"/>
      <c r="AS289" s="85"/>
      <c r="AU289" s="78"/>
    </row>
    <row r="290" spans="38:47" x14ac:dyDescent="0.2">
      <c r="AL290" s="26" t="str">
        <f t="shared" si="4"/>
        <v/>
      </c>
      <c r="AO290" s="85"/>
      <c r="AQ290" s="85"/>
      <c r="AS290" s="85"/>
      <c r="AU290" s="78"/>
    </row>
    <row r="291" spans="38:47" x14ac:dyDescent="0.2">
      <c r="AL291" s="26" t="str">
        <f t="shared" si="4"/>
        <v/>
      </c>
      <c r="AO291" s="85"/>
      <c r="AQ291" s="85"/>
      <c r="AS291" s="85"/>
      <c r="AU291" s="78"/>
    </row>
    <row r="292" spans="38:47" x14ac:dyDescent="0.2">
      <c r="AL292" s="26" t="str">
        <f t="shared" si="4"/>
        <v/>
      </c>
      <c r="AO292" s="85"/>
      <c r="AQ292" s="85"/>
      <c r="AS292" s="85"/>
      <c r="AU292" s="78"/>
    </row>
    <row r="293" spans="38:47" x14ac:dyDescent="0.2">
      <c r="AL293" s="26" t="str">
        <f t="shared" si="4"/>
        <v/>
      </c>
      <c r="AO293" s="85"/>
      <c r="AQ293" s="85"/>
      <c r="AS293" s="85"/>
      <c r="AU293" s="78"/>
    </row>
    <row r="294" spans="38:47" x14ac:dyDescent="0.2">
      <c r="AL294" s="26" t="str">
        <f t="shared" si="4"/>
        <v/>
      </c>
      <c r="AO294" s="85"/>
      <c r="AQ294" s="85"/>
      <c r="AS294" s="85"/>
      <c r="AU294" s="78"/>
    </row>
    <row r="295" spans="38:47" x14ac:dyDescent="0.2">
      <c r="AL295" s="26" t="str">
        <f t="shared" si="4"/>
        <v/>
      </c>
      <c r="AO295" s="85"/>
      <c r="AQ295" s="85"/>
      <c r="AS295" s="85"/>
      <c r="AU295" s="78"/>
    </row>
    <row r="296" spans="38:47" x14ac:dyDescent="0.2">
      <c r="AL296" s="26" t="str">
        <f t="shared" si="4"/>
        <v/>
      </c>
      <c r="AO296" s="85"/>
      <c r="AQ296" s="85"/>
      <c r="AS296" s="85"/>
      <c r="AU296" s="78"/>
    </row>
    <row r="297" spans="38:47" x14ac:dyDescent="0.2">
      <c r="AL297" s="26" t="str">
        <f t="shared" si="4"/>
        <v/>
      </c>
      <c r="AO297" s="85"/>
      <c r="AQ297" s="85"/>
      <c r="AS297" s="85"/>
      <c r="AU297" s="78"/>
    </row>
    <row r="298" spans="38:47" x14ac:dyDescent="0.2">
      <c r="AL298" s="26" t="str">
        <f t="shared" si="4"/>
        <v/>
      </c>
      <c r="AO298" s="85"/>
      <c r="AQ298" s="85"/>
      <c r="AS298" s="85"/>
      <c r="AU298" s="78"/>
    </row>
    <row r="299" spans="38:47" x14ac:dyDescent="0.2">
      <c r="AL299" s="26" t="str">
        <f t="shared" si="4"/>
        <v/>
      </c>
      <c r="AO299" s="85"/>
      <c r="AQ299" s="85"/>
      <c r="AS299" s="85"/>
      <c r="AU299" s="78"/>
    </row>
    <row r="300" spans="38:47" x14ac:dyDescent="0.2">
      <c r="AL300" s="26" t="str">
        <f t="shared" si="4"/>
        <v/>
      </c>
      <c r="AO300" s="85"/>
      <c r="AQ300" s="85"/>
      <c r="AS300" s="85"/>
      <c r="AU300" s="78"/>
    </row>
    <row r="301" spans="38:47" x14ac:dyDescent="0.2">
      <c r="AL301" s="26" t="str">
        <f t="shared" si="4"/>
        <v/>
      </c>
      <c r="AO301" s="85"/>
      <c r="AQ301" s="85"/>
      <c r="AS301" s="85"/>
      <c r="AU301" s="78"/>
    </row>
    <row r="302" spans="38:47" x14ac:dyDescent="0.2">
      <c r="AL302" s="26" t="str">
        <f t="shared" si="4"/>
        <v/>
      </c>
      <c r="AO302" s="85"/>
      <c r="AQ302" s="85"/>
      <c r="AS302" s="85"/>
      <c r="AU302" s="78"/>
    </row>
    <row r="303" spans="38:47" x14ac:dyDescent="0.2">
      <c r="AL303" s="26" t="str">
        <f t="shared" si="4"/>
        <v/>
      </c>
      <c r="AO303" s="85"/>
      <c r="AQ303" s="85"/>
      <c r="AS303" s="85"/>
      <c r="AU303" s="78"/>
    </row>
    <row r="304" spans="38:47" x14ac:dyDescent="0.2">
      <c r="AL304" s="26" t="str">
        <f t="shared" si="4"/>
        <v/>
      </c>
      <c r="AO304" s="85"/>
      <c r="AQ304" s="85"/>
      <c r="AS304" s="85"/>
      <c r="AU304" s="78"/>
    </row>
    <row r="305" spans="38:47" x14ac:dyDescent="0.2">
      <c r="AL305" s="26" t="str">
        <f t="shared" si="4"/>
        <v/>
      </c>
      <c r="AO305" s="85"/>
      <c r="AQ305" s="85"/>
      <c r="AS305" s="85"/>
      <c r="AU305" s="78"/>
    </row>
    <row r="306" spans="38:47" x14ac:dyDescent="0.2">
      <c r="AL306" s="26" t="str">
        <f t="shared" si="4"/>
        <v/>
      </c>
      <c r="AO306" s="85"/>
      <c r="AQ306" s="85"/>
      <c r="AS306" s="85"/>
      <c r="AU306" s="78"/>
    </row>
    <row r="307" spans="38:47" x14ac:dyDescent="0.2">
      <c r="AL307" s="26" t="str">
        <f t="shared" si="4"/>
        <v/>
      </c>
      <c r="AO307" s="85"/>
      <c r="AQ307" s="85"/>
      <c r="AS307" s="85"/>
      <c r="AU307" s="78"/>
    </row>
    <row r="308" spans="38:47" x14ac:dyDescent="0.2">
      <c r="AL308" s="26" t="str">
        <f t="shared" si="4"/>
        <v/>
      </c>
      <c r="AO308" s="85"/>
      <c r="AQ308" s="85"/>
      <c r="AS308" s="85"/>
      <c r="AU308" s="78"/>
    </row>
    <row r="309" spans="38:47" x14ac:dyDescent="0.2">
      <c r="AL309" s="26" t="str">
        <f t="shared" si="4"/>
        <v/>
      </c>
      <c r="AO309" s="85"/>
      <c r="AQ309" s="85"/>
      <c r="AS309" s="85"/>
      <c r="AU309" s="78"/>
    </row>
    <row r="310" spans="38:47" x14ac:dyDescent="0.2">
      <c r="AL310" s="26" t="str">
        <f t="shared" si="4"/>
        <v/>
      </c>
      <c r="AO310" s="85"/>
      <c r="AQ310" s="85"/>
      <c r="AS310" s="85"/>
      <c r="AU310" s="78"/>
    </row>
    <row r="311" spans="38:47" x14ac:dyDescent="0.2">
      <c r="AL311" s="26" t="str">
        <f t="shared" si="4"/>
        <v/>
      </c>
      <c r="AO311" s="85"/>
      <c r="AQ311" s="85"/>
      <c r="AS311" s="85"/>
      <c r="AU311" s="78"/>
    </row>
    <row r="312" spans="38:47" x14ac:dyDescent="0.2">
      <c r="AL312" s="26" t="str">
        <f t="shared" si="4"/>
        <v/>
      </c>
      <c r="AO312" s="85"/>
      <c r="AQ312" s="85"/>
      <c r="AS312" s="85"/>
      <c r="AU312" s="78"/>
    </row>
    <row r="313" spans="38:47" x14ac:dyDescent="0.2">
      <c r="AL313" s="26" t="str">
        <f t="shared" si="4"/>
        <v/>
      </c>
      <c r="AO313" s="85"/>
      <c r="AQ313" s="85"/>
      <c r="AS313" s="85"/>
      <c r="AU313" s="78"/>
    </row>
    <row r="314" spans="38:47" x14ac:dyDescent="0.2">
      <c r="AL314" s="26" t="str">
        <f t="shared" si="4"/>
        <v/>
      </c>
      <c r="AO314" s="85"/>
      <c r="AQ314" s="85"/>
      <c r="AS314" s="85"/>
      <c r="AU314" s="78"/>
    </row>
    <row r="315" spans="38:47" x14ac:dyDescent="0.2">
      <c r="AL315" s="26" t="str">
        <f t="shared" si="4"/>
        <v/>
      </c>
      <c r="AO315" s="85"/>
      <c r="AQ315" s="85"/>
      <c r="AS315" s="85"/>
      <c r="AU315" s="78"/>
    </row>
    <row r="316" spans="38:47" x14ac:dyDescent="0.2">
      <c r="AL316" s="26" t="str">
        <f t="shared" si="4"/>
        <v/>
      </c>
      <c r="AO316" s="85"/>
      <c r="AQ316" s="85"/>
      <c r="AS316" s="85"/>
      <c r="AU316" s="78"/>
    </row>
    <row r="317" spans="38:47" x14ac:dyDescent="0.2">
      <c r="AL317" s="26" t="str">
        <f t="shared" si="4"/>
        <v/>
      </c>
      <c r="AO317" s="85"/>
      <c r="AQ317" s="85"/>
      <c r="AS317" s="85"/>
      <c r="AU317" s="78"/>
    </row>
    <row r="318" spans="38:47" x14ac:dyDescent="0.2">
      <c r="AL318" s="26" t="str">
        <f t="shared" si="4"/>
        <v/>
      </c>
      <c r="AO318" s="85"/>
      <c r="AQ318" s="85"/>
      <c r="AS318" s="85"/>
      <c r="AU318" s="78"/>
    </row>
    <row r="319" spans="38:47" x14ac:dyDescent="0.2">
      <c r="AL319" s="26" t="str">
        <f t="shared" si="4"/>
        <v/>
      </c>
      <c r="AO319" s="85"/>
      <c r="AQ319" s="85"/>
      <c r="AS319" s="85"/>
      <c r="AU319" s="78"/>
    </row>
    <row r="320" spans="38:47" x14ac:dyDescent="0.2">
      <c r="AL320" s="26" t="str">
        <f t="shared" si="4"/>
        <v/>
      </c>
      <c r="AO320" s="85"/>
      <c r="AQ320" s="85"/>
      <c r="AS320" s="85"/>
      <c r="AU320" s="78"/>
    </row>
    <row r="321" spans="38:47" x14ac:dyDescent="0.2">
      <c r="AL321" s="26" t="str">
        <f t="shared" si="4"/>
        <v/>
      </c>
      <c r="AO321" s="85"/>
      <c r="AQ321" s="85"/>
      <c r="AS321" s="85"/>
      <c r="AU321" s="78"/>
    </row>
    <row r="322" spans="38:47" x14ac:dyDescent="0.2">
      <c r="AL322" s="26" t="str">
        <f t="shared" si="4"/>
        <v/>
      </c>
      <c r="AO322" s="85"/>
      <c r="AQ322" s="85"/>
      <c r="AS322" s="85"/>
      <c r="AU322" s="78"/>
    </row>
    <row r="323" spans="38:47" x14ac:dyDescent="0.2">
      <c r="AL323" s="26" t="str">
        <f t="shared" si="4"/>
        <v/>
      </c>
      <c r="AO323" s="85"/>
      <c r="AQ323" s="85"/>
      <c r="AS323" s="85"/>
      <c r="AU323" s="78"/>
    </row>
    <row r="324" spans="38:47" x14ac:dyDescent="0.2">
      <c r="AL324" s="26" t="str">
        <f t="shared" si="4"/>
        <v/>
      </c>
      <c r="AO324" s="85"/>
      <c r="AQ324" s="85"/>
      <c r="AS324" s="85"/>
      <c r="AU324" s="78"/>
    </row>
    <row r="325" spans="38:47" x14ac:dyDescent="0.2">
      <c r="AL325" s="26" t="str">
        <f t="shared" si="4"/>
        <v/>
      </c>
      <c r="AO325" s="85"/>
      <c r="AQ325" s="85"/>
      <c r="AS325" s="85"/>
      <c r="AU325" s="78"/>
    </row>
    <row r="326" spans="38:47" x14ac:dyDescent="0.2">
      <c r="AL326" s="26" t="str">
        <f t="shared" si="4"/>
        <v/>
      </c>
      <c r="AO326" s="85"/>
      <c r="AQ326" s="85"/>
      <c r="AS326" s="85"/>
      <c r="AU326" s="78"/>
    </row>
    <row r="327" spans="38:47" x14ac:dyDescent="0.2">
      <c r="AL327" s="26" t="str">
        <f t="shared" si="4"/>
        <v/>
      </c>
      <c r="AO327" s="85"/>
      <c r="AQ327" s="85"/>
      <c r="AS327" s="85"/>
      <c r="AU327" s="78"/>
    </row>
    <row r="328" spans="38:47" x14ac:dyDescent="0.2">
      <c r="AL328" s="26" t="str">
        <f t="shared" si="4"/>
        <v/>
      </c>
      <c r="AO328" s="85"/>
      <c r="AQ328" s="85"/>
      <c r="AS328" s="85"/>
      <c r="AU328" s="78"/>
    </row>
    <row r="329" spans="38:47" x14ac:dyDescent="0.2">
      <c r="AL329" s="26" t="str">
        <f t="shared" si="4"/>
        <v/>
      </c>
      <c r="AO329" s="85"/>
      <c r="AQ329" s="85"/>
      <c r="AS329" s="85"/>
      <c r="AU329" s="78"/>
    </row>
    <row r="330" spans="38:47" x14ac:dyDescent="0.2">
      <c r="AL330" s="26" t="str">
        <f t="shared" si="4"/>
        <v/>
      </c>
      <c r="AO330" s="85"/>
      <c r="AQ330" s="85"/>
      <c r="AS330" s="85"/>
      <c r="AU330" s="78"/>
    </row>
    <row r="331" spans="38:47" x14ac:dyDescent="0.2">
      <c r="AL331" s="26" t="str">
        <f t="shared" si="4"/>
        <v/>
      </c>
      <c r="AO331" s="85"/>
      <c r="AQ331" s="85"/>
      <c r="AS331" s="85"/>
      <c r="AU331" s="78"/>
    </row>
    <row r="332" spans="38:47" x14ac:dyDescent="0.2">
      <c r="AL332" s="26" t="str">
        <f t="shared" si="4"/>
        <v/>
      </c>
      <c r="AO332" s="85"/>
      <c r="AQ332" s="85"/>
      <c r="AS332" s="85"/>
      <c r="AU332" s="78"/>
    </row>
    <row r="333" spans="38:47" x14ac:dyDescent="0.2">
      <c r="AL333" s="26" t="str">
        <f t="shared" si="4"/>
        <v/>
      </c>
      <c r="AO333" s="85"/>
      <c r="AQ333" s="85"/>
      <c r="AS333" s="85"/>
      <c r="AU333" s="78"/>
    </row>
    <row r="334" spans="38:47" x14ac:dyDescent="0.2">
      <c r="AL334" s="26" t="str">
        <f t="shared" ref="AL334:AL397" si="5">IF(AK334="","",VLOOKUP(AK334,SEGUIMIENTOS,2,FALSE))</f>
        <v/>
      </c>
      <c r="AO334" s="85"/>
      <c r="AQ334" s="85"/>
      <c r="AS334" s="85"/>
      <c r="AU334" s="78"/>
    </row>
    <row r="335" spans="38:47" x14ac:dyDescent="0.2">
      <c r="AL335" s="26" t="str">
        <f t="shared" si="5"/>
        <v/>
      </c>
      <c r="AO335" s="85"/>
      <c r="AQ335" s="85"/>
      <c r="AS335" s="85"/>
      <c r="AU335" s="78"/>
    </row>
    <row r="336" spans="38:47" x14ac:dyDescent="0.2">
      <c r="AL336" s="26" t="str">
        <f t="shared" si="5"/>
        <v/>
      </c>
      <c r="AO336" s="85"/>
      <c r="AQ336" s="85"/>
      <c r="AS336" s="85"/>
      <c r="AU336" s="78"/>
    </row>
    <row r="337" spans="38:47" x14ac:dyDescent="0.2">
      <c r="AL337" s="26" t="str">
        <f t="shared" si="5"/>
        <v/>
      </c>
      <c r="AO337" s="85"/>
      <c r="AQ337" s="85"/>
      <c r="AS337" s="85"/>
      <c r="AU337" s="78"/>
    </row>
    <row r="338" spans="38:47" x14ac:dyDescent="0.2">
      <c r="AL338" s="26" t="str">
        <f t="shared" si="5"/>
        <v/>
      </c>
      <c r="AO338" s="85"/>
      <c r="AQ338" s="85"/>
      <c r="AS338" s="85"/>
      <c r="AU338" s="78"/>
    </row>
    <row r="339" spans="38:47" x14ac:dyDescent="0.2">
      <c r="AL339" s="26" t="str">
        <f t="shared" si="5"/>
        <v/>
      </c>
      <c r="AO339" s="85"/>
      <c r="AQ339" s="85"/>
      <c r="AS339" s="85"/>
      <c r="AU339" s="78"/>
    </row>
    <row r="340" spans="38:47" x14ac:dyDescent="0.2">
      <c r="AL340" s="26" t="str">
        <f t="shared" si="5"/>
        <v/>
      </c>
      <c r="AO340" s="85"/>
      <c r="AQ340" s="85"/>
      <c r="AS340" s="85"/>
      <c r="AU340" s="78"/>
    </row>
    <row r="341" spans="38:47" x14ac:dyDescent="0.2">
      <c r="AL341" s="26" t="str">
        <f t="shared" si="5"/>
        <v/>
      </c>
      <c r="AO341" s="85"/>
      <c r="AQ341" s="85"/>
      <c r="AS341" s="85"/>
      <c r="AU341" s="78"/>
    </row>
    <row r="342" spans="38:47" x14ac:dyDescent="0.2">
      <c r="AL342" s="26" t="str">
        <f t="shared" si="5"/>
        <v/>
      </c>
      <c r="AO342" s="85"/>
      <c r="AQ342" s="85"/>
      <c r="AS342" s="85"/>
      <c r="AU342" s="78"/>
    </row>
    <row r="343" spans="38:47" x14ac:dyDescent="0.2">
      <c r="AL343" s="26" t="str">
        <f t="shared" si="5"/>
        <v/>
      </c>
      <c r="AO343" s="85"/>
      <c r="AQ343" s="85"/>
      <c r="AS343" s="85"/>
      <c r="AU343" s="78"/>
    </row>
    <row r="344" spans="38:47" x14ac:dyDescent="0.2">
      <c r="AL344" s="26" t="str">
        <f t="shared" si="5"/>
        <v/>
      </c>
      <c r="AO344" s="85"/>
      <c r="AQ344" s="85"/>
      <c r="AS344" s="85"/>
      <c r="AU344" s="78"/>
    </row>
    <row r="345" spans="38:47" x14ac:dyDescent="0.2">
      <c r="AL345" s="26" t="str">
        <f t="shared" si="5"/>
        <v/>
      </c>
      <c r="AO345" s="85"/>
      <c r="AQ345" s="85"/>
      <c r="AS345" s="85"/>
      <c r="AU345" s="78"/>
    </row>
    <row r="346" spans="38:47" x14ac:dyDescent="0.2">
      <c r="AL346" s="26" t="str">
        <f t="shared" si="5"/>
        <v/>
      </c>
      <c r="AO346" s="85"/>
      <c r="AQ346" s="85"/>
      <c r="AS346" s="85"/>
      <c r="AU346" s="78"/>
    </row>
    <row r="347" spans="38:47" x14ac:dyDescent="0.2">
      <c r="AL347" s="26" t="str">
        <f t="shared" si="5"/>
        <v/>
      </c>
      <c r="AO347" s="85"/>
      <c r="AQ347" s="85"/>
      <c r="AS347" s="85"/>
      <c r="AU347" s="78"/>
    </row>
    <row r="348" spans="38:47" x14ac:dyDescent="0.2">
      <c r="AL348" s="26" t="str">
        <f t="shared" si="5"/>
        <v/>
      </c>
      <c r="AO348" s="85"/>
      <c r="AQ348" s="85"/>
      <c r="AS348" s="85"/>
      <c r="AU348" s="78"/>
    </row>
    <row r="349" spans="38:47" x14ac:dyDescent="0.2">
      <c r="AL349" s="26" t="str">
        <f t="shared" si="5"/>
        <v/>
      </c>
      <c r="AO349" s="85"/>
      <c r="AQ349" s="85"/>
      <c r="AS349" s="85"/>
      <c r="AU349" s="78"/>
    </row>
    <row r="350" spans="38:47" x14ac:dyDescent="0.2">
      <c r="AL350" s="26" t="str">
        <f t="shared" si="5"/>
        <v/>
      </c>
      <c r="AO350" s="85"/>
      <c r="AQ350" s="85"/>
      <c r="AS350" s="85"/>
      <c r="AU350" s="78"/>
    </row>
    <row r="351" spans="38:47" x14ac:dyDescent="0.2">
      <c r="AL351" s="26" t="str">
        <f t="shared" si="5"/>
        <v/>
      </c>
      <c r="AO351" s="85"/>
      <c r="AQ351" s="85"/>
      <c r="AS351" s="85"/>
      <c r="AU351" s="78"/>
    </row>
    <row r="352" spans="38:47" x14ac:dyDescent="0.2">
      <c r="AL352" s="26" t="str">
        <f t="shared" si="5"/>
        <v/>
      </c>
      <c r="AO352" s="85"/>
      <c r="AQ352" s="85"/>
      <c r="AS352" s="85"/>
      <c r="AU352" s="78"/>
    </row>
    <row r="353" spans="38:47" x14ac:dyDescent="0.2">
      <c r="AL353" s="26" t="str">
        <f t="shared" si="5"/>
        <v/>
      </c>
      <c r="AO353" s="85"/>
      <c r="AQ353" s="85"/>
      <c r="AS353" s="85"/>
      <c r="AU353" s="78"/>
    </row>
    <row r="354" spans="38:47" x14ac:dyDescent="0.2">
      <c r="AL354" s="26" t="str">
        <f t="shared" si="5"/>
        <v/>
      </c>
      <c r="AO354" s="85"/>
      <c r="AQ354" s="85"/>
      <c r="AS354" s="85"/>
      <c r="AU354" s="78"/>
    </row>
    <row r="355" spans="38:47" x14ac:dyDescent="0.2">
      <c r="AL355" s="26" t="str">
        <f t="shared" si="5"/>
        <v/>
      </c>
      <c r="AO355" s="85"/>
      <c r="AQ355" s="85"/>
      <c r="AS355" s="85"/>
      <c r="AU355" s="78"/>
    </row>
    <row r="356" spans="38:47" x14ac:dyDescent="0.2">
      <c r="AL356" s="26" t="str">
        <f t="shared" si="5"/>
        <v/>
      </c>
      <c r="AO356" s="85"/>
      <c r="AQ356" s="85"/>
      <c r="AS356" s="85"/>
      <c r="AU356" s="78"/>
    </row>
    <row r="357" spans="38:47" x14ac:dyDescent="0.2">
      <c r="AL357" s="26" t="str">
        <f t="shared" si="5"/>
        <v/>
      </c>
      <c r="AO357" s="85"/>
      <c r="AQ357" s="85"/>
      <c r="AS357" s="85"/>
      <c r="AU357" s="78"/>
    </row>
    <row r="358" spans="38:47" x14ac:dyDescent="0.2">
      <c r="AL358" s="26" t="str">
        <f t="shared" si="5"/>
        <v/>
      </c>
      <c r="AO358" s="85"/>
      <c r="AQ358" s="85"/>
      <c r="AS358" s="85"/>
      <c r="AU358" s="78"/>
    </row>
    <row r="359" spans="38:47" x14ac:dyDescent="0.2">
      <c r="AL359" s="26" t="str">
        <f t="shared" si="5"/>
        <v/>
      </c>
      <c r="AO359" s="85"/>
      <c r="AQ359" s="85"/>
      <c r="AS359" s="85"/>
      <c r="AU359" s="78"/>
    </row>
    <row r="360" spans="38:47" x14ac:dyDescent="0.2">
      <c r="AL360" s="26" t="str">
        <f t="shared" si="5"/>
        <v/>
      </c>
      <c r="AO360" s="85"/>
      <c r="AQ360" s="85"/>
      <c r="AS360" s="85"/>
      <c r="AU360" s="78"/>
    </row>
    <row r="361" spans="38:47" x14ac:dyDescent="0.2">
      <c r="AL361" s="26" t="str">
        <f t="shared" si="5"/>
        <v/>
      </c>
      <c r="AO361" s="85"/>
      <c r="AQ361" s="85"/>
      <c r="AS361" s="85"/>
      <c r="AU361" s="78"/>
    </row>
    <row r="362" spans="38:47" x14ac:dyDescent="0.2">
      <c r="AL362" s="26" t="str">
        <f t="shared" si="5"/>
        <v/>
      </c>
      <c r="AO362" s="85"/>
      <c r="AQ362" s="85"/>
      <c r="AS362" s="85"/>
      <c r="AU362" s="78"/>
    </row>
    <row r="363" spans="38:47" x14ac:dyDescent="0.2">
      <c r="AL363" s="26" t="str">
        <f t="shared" si="5"/>
        <v/>
      </c>
      <c r="AO363" s="85"/>
      <c r="AQ363" s="85"/>
      <c r="AS363" s="85"/>
      <c r="AU363" s="78"/>
    </row>
    <row r="364" spans="38:47" x14ac:dyDescent="0.2">
      <c r="AL364" s="26" t="str">
        <f t="shared" si="5"/>
        <v/>
      </c>
      <c r="AO364" s="85"/>
      <c r="AQ364" s="85"/>
      <c r="AS364" s="85"/>
      <c r="AU364" s="78"/>
    </row>
    <row r="365" spans="38:47" x14ac:dyDescent="0.2">
      <c r="AL365" s="26" t="str">
        <f t="shared" si="5"/>
        <v/>
      </c>
      <c r="AO365" s="85"/>
      <c r="AQ365" s="85"/>
      <c r="AS365" s="85"/>
      <c r="AU365" s="78"/>
    </row>
    <row r="366" spans="38:47" x14ac:dyDescent="0.2">
      <c r="AL366" s="26" t="str">
        <f t="shared" si="5"/>
        <v/>
      </c>
      <c r="AO366" s="85"/>
      <c r="AQ366" s="85"/>
      <c r="AS366" s="85"/>
      <c r="AU366" s="78"/>
    </row>
    <row r="367" spans="38:47" x14ac:dyDescent="0.2">
      <c r="AL367" s="26" t="str">
        <f t="shared" si="5"/>
        <v/>
      </c>
      <c r="AO367" s="85"/>
      <c r="AQ367" s="85"/>
      <c r="AS367" s="85"/>
      <c r="AU367" s="78"/>
    </row>
    <row r="368" spans="38:47" x14ac:dyDescent="0.2">
      <c r="AL368" s="26" t="str">
        <f t="shared" si="5"/>
        <v/>
      </c>
      <c r="AO368" s="85"/>
      <c r="AQ368" s="85"/>
      <c r="AS368" s="85"/>
      <c r="AU368" s="78"/>
    </row>
    <row r="369" spans="38:47" x14ac:dyDescent="0.2">
      <c r="AL369" s="26" t="str">
        <f t="shared" si="5"/>
        <v/>
      </c>
      <c r="AO369" s="85"/>
      <c r="AQ369" s="85"/>
      <c r="AS369" s="85"/>
      <c r="AU369" s="78"/>
    </row>
    <row r="370" spans="38:47" x14ac:dyDescent="0.2">
      <c r="AL370" s="26" t="str">
        <f t="shared" si="5"/>
        <v/>
      </c>
      <c r="AO370" s="85"/>
      <c r="AQ370" s="85"/>
      <c r="AS370" s="85"/>
      <c r="AU370" s="78"/>
    </row>
    <row r="371" spans="38:47" x14ac:dyDescent="0.2">
      <c r="AL371" s="26" t="str">
        <f t="shared" si="5"/>
        <v/>
      </c>
      <c r="AO371" s="85"/>
      <c r="AQ371" s="85"/>
      <c r="AS371" s="85"/>
      <c r="AU371" s="78"/>
    </row>
    <row r="372" spans="38:47" x14ac:dyDescent="0.2">
      <c r="AL372" s="26" t="str">
        <f t="shared" si="5"/>
        <v/>
      </c>
      <c r="AO372" s="85"/>
      <c r="AQ372" s="85"/>
      <c r="AS372" s="85"/>
      <c r="AU372" s="78"/>
    </row>
    <row r="373" spans="38:47" x14ac:dyDescent="0.2">
      <c r="AL373" s="26" t="str">
        <f t="shared" si="5"/>
        <v/>
      </c>
      <c r="AO373" s="85"/>
      <c r="AQ373" s="85"/>
      <c r="AS373" s="85"/>
      <c r="AU373" s="78"/>
    </row>
    <row r="374" spans="38:47" x14ac:dyDescent="0.2">
      <c r="AL374" s="26" t="str">
        <f t="shared" si="5"/>
        <v/>
      </c>
      <c r="AO374" s="85"/>
      <c r="AQ374" s="85"/>
      <c r="AS374" s="85"/>
      <c r="AU374" s="78"/>
    </row>
    <row r="375" spans="38:47" x14ac:dyDescent="0.2">
      <c r="AL375" s="26" t="str">
        <f t="shared" si="5"/>
        <v/>
      </c>
      <c r="AO375" s="85"/>
      <c r="AQ375" s="85"/>
      <c r="AS375" s="85"/>
      <c r="AU375" s="78"/>
    </row>
    <row r="376" spans="38:47" x14ac:dyDescent="0.2">
      <c r="AL376" s="26" t="str">
        <f t="shared" si="5"/>
        <v/>
      </c>
      <c r="AO376" s="85"/>
      <c r="AQ376" s="85"/>
      <c r="AS376" s="85"/>
      <c r="AU376" s="78"/>
    </row>
    <row r="377" spans="38:47" x14ac:dyDescent="0.2">
      <c r="AL377" s="26" t="str">
        <f t="shared" si="5"/>
        <v/>
      </c>
      <c r="AO377" s="85"/>
      <c r="AQ377" s="85"/>
      <c r="AS377" s="85"/>
      <c r="AU377" s="78"/>
    </row>
    <row r="378" spans="38:47" x14ac:dyDescent="0.2">
      <c r="AL378" s="26" t="str">
        <f t="shared" si="5"/>
        <v/>
      </c>
      <c r="AO378" s="85"/>
      <c r="AQ378" s="85"/>
      <c r="AS378" s="85"/>
      <c r="AU378" s="78"/>
    </row>
    <row r="379" spans="38:47" x14ac:dyDescent="0.2">
      <c r="AL379" s="26" t="str">
        <f t="shared" si="5"/>
        <v/>
      </c>
      <c r="AO379" s="85"/>
      <c r="AQ379" s="85"/>
      <c r="AS379" s="85"/>
      <c r="AU379" s="78"/>
    </row>
    <row r="380" spans="38:47" x14ac:dyDescent="0.2">
      <c r="AL380" s="26" t="str">
        <f t="shared" si="5"/>
        <v/>
      </c>
      <c r="AO380" s="85"/>
      <c r="AQ380" s="85"/>
      <c r="AS380" s="85"/>
      <c r="AU380" s="78"/>
    </row>
    <row r="381" spans="38:47" x14ac:dyDescent="0.2">
      <c r="AL381" s="26" t="str">
        <f t="shared" si="5"/>
        <v/>
      </c>
      <c r="AO381" s="85"/>
      <c r="AQ381" s="85"/>
      <c r="AS381" s="85"/>
      <c r="AU381" s="78"/>
    </row>
    <row r="382" spans="38:47" x14ac:dyDescent="0.2">
      <c r="AL382" s="26" t="str">
        <f t="shared" si="5"/>
        <v/>
      </c>
      <c r="AO382" s="85"/>
      <c r="AQ382" s="85"/>
      <c r="AS382" s="85"/>
      <c r="AU382" s="78"/>
    </row>
    <row r="383" spans="38:47" x14ac:dyDescent="0.2">
      <c r="AL383" s="26" t="str">
        <f t="shared" si="5"/>
        <v/>
      </c>
      <c r="AO383" s="85"/>
      <c r="AQ383" s="85"/>
      <c r="AS383" s="85"/>
      <c r="AU383" s="78"/>
    </row>
    <row r="384" spans="38:47" x14ac:dyDescent="0.2">
      <c r="AL384" s="26" t="str">
        <f t="shared" si="5"/>
        <v/>
      </c>
      <c r="AO384" s="85"/>
      <c r="AQ384" s="85"/>
      <c r="AS384" s="85"/>
      <c r="AU384" s="78"/>
    </row>
    <row r="385" spans="38:47" x14ac:dyDescent="0.2">
      <c r="AL385" s="26" t="str">
        <f t="shared" si="5"/>
        <v/>
      </c>
      <c r="AO385" s="85"/>
      <c r="AQ385" s="85"/>
      <c r="AS385" s="85"/>
      <c r="AU385" s="78"/>
    </row>
    <row r="386" spans="38:47" x14ac:dyDescent="0.2">
      <c r="AL386" s="26" t="str">
        <f t="shared" si="5"/>
        <v/>
      </c>
      <c r="AO386" s="85"/>
      <c r="AQ386" s="85"/>
      <c r="AS386" s="85"/>
      <c r="AU386" s="78"/>
    </row>
    <row r="387" spans="38:47" x14ac:dyDescent="0.2">
      <c r="AL387" s="26" t="str">
        <f t="shared" si="5"/>
        <v/>
      </c>
      <c r="AO387" s="85"/>
      <c r="AQ387" s="85"/>
      <c r="AS387" s="85"/>
      <c r="AU387" s="78"/>
    </row>
    <row r="388" spans="38:47" x14ac:dyDescent="0.2">
      <c r="AL388" s="26" t="str">
        <f t="shared" si="5"/>
        <v/>
      </c>
      <c r="AO388" s="85"/>
      <c r="AQ388" s="85"/>
      <c r="AS388" s="85"/>
      <c r="AU388" s="78"/>
    </row>
    <row r="389" spans="38:47" x14ac:dyDescent="0.2">
      <c r="AL389" s="26" t="str">
        <f t="shared" si="5"/>
        <v/>
      </c>
      <c r="AO389" s="85"/>
      <c r="AQ389" s="85"/>
      <c r="AS389" s="85"/>
      <c r="AU389" s="78"/>
    </row>
    <row r="390" spans="38:47" x14ac:dyDescent="0.2">
      <c r="AL390" s="26" t="str">
        <f t="shared" si="5"/>
        <v/>
      </c>
      <c r="AO390" s="85"/>
      <c r="AQ390" s="85"/>
      <c r="AS390" s="85"/>
      <c r="AU390" s="78"/>
    </row>
    <row r="391" spans="38:47" x14ac:dyDescent="0.2">
      <c r="AL391" s="26" t="str">
        <f t="shared" si="5"/>
        <v/>
      </c>
      <c r="AO391" s="85"/>
      <c r="AQ391" s="85"/>
      <c r="AS391" s="85"/>
      <c r="AU391" s="78"/>
    </row>
    <row r="392" spans="38:47" x14ac:dyDescent="0.2">
      <c r="AL392" s="26" t="str">
        <f t="shared" si="5"/>
        <v/>
      </c>
      <c r="AO392" s="85"/>
      <c r="AQ392" s="85"/>
      <c r="AS392" s="85"/>
      <c r="AU392" s="78"/>
    </row>
    <row r="393" spans="38:47" x14ac:dyDescent="0.2">
      <c r="AL393" s="26" t="str">
        <f t="shared" si="5"/>
        <v/>
      </c>
      <c r="AO393" s="85"/>
      <c r="AQ393" s="85"/>
      <c r="AS393" s="85"/>
      <c r="AU393" s="78"/>
    </row>
    <row r="394" spans="38:47" x14ac:dyDescent="0.2">
      <c r="AL394" s="26" t="str">
        <f t="shared" si="5"/>
        <v/>
      </c>
      <c r="AO394" s="85"/>
      <c r="AQ394" s="85"/>
      <c r="AS394" s="85"/>
      <c r="AU394" s="78"/>
    </row>
    <row r="395" spans="38:47" x14ac:dyDescent="0.2">
      <c r="AL395" s="26" t="str">
        <f t="shared" si="5"/>
        <v/>
      </c>
      <c r="AO395" s="85"/>
      <c r="AQ395" s="85"/>
      <c r="AS395" s="85"/>
      <c r="AU395" s="78"/>
    </row>
    <row r="396" spans="38:47" x14ac:dyDescent="0.2">
      <c r="AL396" s="26" t="str">
        <f t="shared" si="5"/>
        <v/>
      </c>
      <c r="AO396" s="85"/>
      <c r="AQ396" s="85"/>
      <c r="AS396" s="85"/>
      <c r="AU396" s="78"/>
    </row>
    <row r="397" spans="38:47" x14ac:dyDescent="0.2">
      <c r="AL397" s="26" t="str">
        <f t="shared" si="5"/>
        <v/>
      </c>
      <c r="AO397" s="85"/>
      <c r="AQ397" s="85"/>
      <c r="AS397" s="85"/>
      <c r="AU397" s="78"/>
    </row>
    <row r="398" spans="38:47" x14ac:dyDescent="0.2">
      <c r="AL398" s="26" t="str">
        <f t="shared" ref="AL398:AL461" si="6">IF(AK398="","",VLOOKUP(AK398,SEGUIMIENTOS,2,FALSE))</f>
        <v/>
      </c>
      <c r="AO398" s="85"/>
      <c r="AQ398" s="85"/>
      <c r="AS398" s="85"/>
      <c r="AU398" s="78"/>
    </row>
    <row r="399" spans="38:47" x14ac:dyDescent="0.2">
      <c r="AL399" s="26" t="str">
        <f t="shared" si="6"/>
        <v/>
      </c>
      <c r="AO399" s="85"/>
      <c r="AQ399" s="85"/>
      <c r="AS399" s="85"/>
      <c r="AU399" s="78"/>
    </row>
    <row r="400" spans="38:47" x14ac:dyDescent="0.2">
      <c r="AL400" s="26" t="str">
        <f t="shared" si="6"/>
        <v/>
      </c>
      <c r="AO400" s="85"/>
      <c r="AQ400" s="85"/>
      <c r="AS400" s="85"/>
      <c r="AU400" s="78"/>
    </row>
    <row r="401" spans="38:47" x14ac:dyDescent="0.2">
      <c r="AL401" s="26" t="str">
        <f t="shared" si="6"/>
        <v/>
      </c>
      <c r="AO401" s="85"/>
      <c r="AQ401" s="85"/>
      <c r="AS401" s="85"/>
      <c r="AU401" s="78"/>
    </row>
    <row r="402" spans="38:47" x14ac:dyDescent="0.2">
      <c r="AL402" s="26" t="str">
        <f t="shared" si="6"/>
        <v/>
      </c>
      <c r="AO402" s="85"/>
      <c r="AQ402" s="85"/>
      <c r="AS402" s="85"/>
      <c r="AU402" s="78"/>
    </row>
    <row r="403" spans="38:47" x14ac:dyDescent="0.2">
      <c r="AL403" s="26" t="str">
        <f t="shared" si="6"/>
        <v/>
      </c>
      <c r="AO403" s="85"/>
      <c r="AQ403" s="85"/>
      <c r="AS403" s="85"/>
      <c r="AU403" s="78"/>
    </row>
    <row r="404" spans="38:47" x14ac:dyDescent="0.2">
      <c r="AL404" s="26" t="str">
        <f t="shared" si="6"/>
        <v/>
      </c>
      <c r="AO404" s="85"/>
      <c r="AQ404" s="85"/>
      <c r="AS404" s="85"/>
      <c r="AU404" s="78"/>
    </row>
    <row r="405" spans="38:47" x14ac:dyDescent="0.2">
      <c r="AL405" s="26" t="str">
        <f t="shared" si="6"/>
        <v/>
      </c>
      <c r="AO405" s="85"/>
      <c r="AQ405" s="85"/>
      <c r="AS405" s="85"/>
      <c r="AU405" s="78"/>
    </row>
    <row r="406" spans="38:47" x14ac:dyDescent="0.2">
      <c r="AL406" s="26" t="str">
        <f t="shared" si="6"/>
        <v/>
      </c>
      <c r="AO406" s="85"/>
      <c r="AQ406" s="85"/>
      <c r="AS406" s="85"/>
      <c r="AU406" s="78"/>
    </row>
    <row r="407" spans="38:47" x14ac:dyDescent="0.2">
      <c r="AL407" s="26" t="str">
        <f t="shared" si="6"/>
        <v/>
      </c>
      <c r="AO407" s="85"/>
      <c r="AQ407" s="85"/>
      <c r="AS407" s="85"/>
      <c r="AU407" s="78"/>
    </row>
    <row r="408" spans="38:47" x14ac:dyDescent="0.2">
      <c r="AL408" s="26" t="str">
        <f t="shared" si="6"/>
        <v/>
      </c>
      <c r="AO408" s="85"/>
      <c r="AQ408" s="85"/>
      <c r="AS408" s="85"/>
      <c r="AU408" s="78"/>
    </row>
    <row r="409" spans="38:47" x14ac:dyDescent="0.2">
      <c r="AL409" s="26" t="str">
        <f t="shared" si="6"/>
        <v/>
      </c>
      <c r="AO409" s="85"/>
      <c r="AQ409" s="85"/>
      <c r="AS409" s="85"/>
      <c r="AU409" s="78"/>
    </row>
    <row r="410" spans="38:47" x14ac:dyDescent="0.2">
      <c r="AL410" s="26" t="str">
        <f t="shared" si="6"/>
        <v/>
      </c>
      <c r="AO410" s="85"/>
      <c r="AQ410" s="85"/>
      <c r="AS410" s="85"/>
      <c r="AU410" s="78"/>
    </row>
    <row r="411" spans="38:47" x14ac:dyDescent="0.2">
      <c r="AL411" s="26" t="str">
        <f t="shared" si="6"/>
        <v/>
      </c>
      <c r="AO411" s="85"/>
      <c r="AQ411" s="85"/>
      <c r="AS411" s="85"/>
      <c r="AU411" s="78"/>
    </row>
    <row r="412" spans="38:47" x14ac:dyDescent="0.2">
      <c r="AL412" s="26" t="str">
        <f t="shared" si="6"/>
        <v/>
      </c>
      <c r="AO412" s="85"/>
      <c r="AQ412" s="85"/>
      <c r="AS412" s="85"/>
      <c r="AU412" s="78"/>
    </row>
    <row r="413" spans="38:47" x14ac:dyDescent="0.2">
      <c r="AL413" s="26" t="str">
        <f t="shared" si="6"/>
        <v/>
      </c>
      <c r="AO413" s="85"/>
      <c r="AQ413" s="85"/>
      <c r="AS413" s="85"/>
      <c r="AU413" s="78"/>
    </row>
    <row r="414" spans="38:47" x14ac:dyDescent="0.2">
      <c r="AL414" s="26" t="str">
        <f t="shared" si="6"/>
        <v/>
      </c>
      <c r="AO414" s="85"/>
      <c r="AQ414" s="85"/>
      <c r="AS414" s="85"/>
      <c r="AU414" s="78"/>
    </row>
    <row r="415" spans="38:47" x14ac:dyDescent="0.2">
      <c r="AL415" s="26" t="str">
        <f t="shared" si="6"/>
        <v/>
      </c>
      <c r="AO415" s="85"/>
      <c r="AQ415" s="85"/>
      <c r="AS415" s="85"/>
      <c r="AU415" s="78"/>
    </row>
    <row r="416" spans="38:47" x14ac:dyDescent="0.2">
      <c r="AL416" s="26" t="str">
        <f t="shared" si="6"/>
        <v/>
      </c>
      <c r="AO416" s="85"/>
      <c r="AQ416" s="85"/>
      <c r="AS416" s="85"/>
      <c r="AU416" s="78"/>
    </row>
    <row r="417" spans="38:47" x14ac:dyDescent="0.2">
      <c r="AL417" s="26" t="str">
        <f t="shared" si="6"/>
        <v/>
      </c>
      <c r="AO417" s="85"/>
      <c r="AQ417" s="85"/>
      <c r="AS417" s="85"/>
      <c r="AU417" s="78"/>
    </row>
    <row r="418" spans="38:47" x14ac:dyDescent="0.2">
      <c r="AL418" s="26" t="str">
        <f t="shared" si="6"/>
        <v/>
      </c>
      <c r="AO418" s="85"/>
      <c r="AQ418" s="85"/>
      <c r="AS418" s="85"/>
      <c r="AU418" s="78"/>
    </row>
    <row r="419" spans="38:47" x14ac:dyDescent="0.2">
      <c r="AL419" s="26" t="str">
        <f t="shared" si="6"/>
        <v/>
      </c>
      <c r="AO419" s="85"/>
      <c r="AQ419" s="85"/>
      <c r="AS419" s="85"/>
      <c r="AU419" s="78"/>
    </row>
    <row r="420" spans="38:47" x14ac:dyDescent="0.2">
      <c r="AL420" s="26" t="str">
        <f t="shared" si="6"/>
        <v/>
      </c>
      <c r="AO420" s="85"/>
      <c r="AQ420" s="85"/>
      <c r="AS420" s="85"/>
      <c r="AU420" s="78"/>
    </row>
    <row r="421" spans="38:47" x14ac:dyDescent="0.2">
      <c r="AL421" s="26" t="str">
        <f t="shared" si="6"/>
        <v/>
      </c>
      <c r="AO421" s="85"/>
      <c r="AQ421" s="85"/>
      <c r="AS421" s="85"/>
      <c r="AU421" s="78"/>
    </row>
    <row r="422" spans="38:47" x14ac:dyDescent="0.2">
      <c r="AL422" s="26" t="str">
        <f t="shared" si="6"/>
        <v/>
      </c>
      <c r="AO422" s="85"/>
      <c r="AQ422" s="85"/>
      <c r="AS422" s="85"/>
      <c r="AU422" s="78"/>
    </row>
    <row r="423" spans="38:47" x14ac:dyDescent="0.2">
      <c r="AL423" s="26" t="str">
        <f t="shared" si="6"/>
        <v/>
      </c>
      <c r="AO423" s="85"/>
      <c r="AQ423" s="85"/>
      <c r="AS423" s="85"/>
      <c r="AU423" s="78"/>
    </row>
    <row r="424" spans="38:47" x14ac:dyDescent="0.2">
      <c r="AL424" s="26" t="str">
        <f t="shared" si="6"/>
        <v/>
      </c>
      <c r="AO424" s="85"/>
      <c r="AQ424" s="85"/>
      <c r="AS424" s="85"/>
      <c r="AU424" s="78"/>
    </row>
    <row r="425" spans="38:47" x14ac:dyDescent="0.2">
      <c r="AL425" s="26" t="str">
        <f t="shared" si="6"/>
        <v/>
      </c>
      <c r="AO425" s="85"/>
      <c r="AQ425" s="85"/>
      <c r="AS425" s="85"/>
      <c r="AU425" s="78"/>
    </row>
    <row r="426" spans="38:47" x14ac:dyDescent="0.2">
      <c r="AL426" s="26" t="str">
        <f t="shared" si="6"/>
        <v/>
      </c>
      <c r="AO426" s="85"/>
      <c r="AQ426" s="85"/>
      <c r="AS426" s="85"/>
      <c r="AU426" s="78"/>
    </row>
    <row r="427" spans="38:47" x14ac:dyDescent="0.2">
      <c r="AL427" s="26" t="str">
        <f t="shared" si="6"/>
        <v/>
      </c>
      <c r="AO427" s="85"/>
      <c r="AQ427" s="85"/>
      <c r="AS427" s="85"/>
      <c r="AU427" s="78"/>
    </row>
    <row r="428" spans="38:47" x14ac:dyDescent="0.2">
      <c r="AL428" s="26" t="str">
        <f t="shared" si="6"/>
        <v/>
      </c>
      <c r="AO428" s="85"/>
      <c r="AQ428" s="85"/>
      <c r="AS428" s="85"/>
      <c r="AU428" s="78"/>
    </row>
    <row r="429" spans="38:47" x14ac:dyDescent="0.2">
      <c r="AL429" s="26" t="str">
        <f t="shared" si="6"/>
        <v/>
      </c>
      <c r="AO429" s="85"/>
      <c r="AQ429" s="85"/>
      <c r="AS429" s="85"/>
      <c r="AU429" s="78"/>
    </row>
    <row r="430" spans="38:47" x14ac:dyDescent="0.2">
      <c r="AL430" s="26" t="str">
        <f t="shared" si="6"/>
        <v/>
      </c>
      <c r="AO430" s="85"/>
      <c r="AQ430" s="85"/>
      <c r="AS430" s="85"/>
      <c r="AU430" s="78"/>
    </row>
    <row r="431" spans="38:47" x14ac:dyDescent="0.2">
      <c r="AL431" s="26" t="str">
        <f t="shared" si="6"/>
        <v/>
      </c>
      <c r="AO431" s="85"/>
      <c r="AQ431" s="85"/>
      <c r="AS431" s="85"/>
      <c r="AU431" s="78"/>
    </row>
    <row r="432" spans="38:47" x14ac:dyDescent="0.2">
      <c r="AL432" s="26" t="str">
        <f t="shared" si="6"/>
        <v/>
      </c>
      <c r="AO432" s="85"/>
      <c r="AQ432" s="85"/>
      <c r="AS432" s="85"/>
      <c r="AU432" s="78"/>
    </row>
    <row r="433" spans="38:47" x14ac:dyDescent="0.2">
      <c r="AL433" s="26" t="str">
        <f t="shared" si="6"/>
        <v/>
      </c>
      <c r="AO433" s="85"/>
      <c r="AQ433" s="85"/>
      <c r="AS433" s="85"/>
      <c r="AU433" s="78"/>
    </row>
    <row r="434" spans="38:47" x14ac:dyDescent="0.2">
      <c r="AL434" s="26" t="str">
        <f t="shared" si="6"/>
        <v/>
      </c>
      <c r="AO434" s="85"/>
      <c r="AQ434" s="85"/>
      <c r="AS434" s="85"/>
      <c r="AU434" s="78"/>
    </row>
    <row r="435" spans="38:47" x14ac:dyDescent="0.2">
      <c r="AL435" s="26" t="str">
        <f t="shared" si="6"/>
        <v/>
      </c>
      <c r="AO435" s="85"/>
      <c r="AQ435" s="85"/>
      <c r="AS435" s="85"/>
      <c r="AU435" s="78"/>
    </row>
    <row r="436" spans="38:47" x14ac:dyDescent="0.2">
      <c r="AL436" s="26" t="str">
        <f t="shared" si="6"/>
        <v/>
      </c>
      <c r="AO436" s="85"/>
      <c r="AQ436" s="85"/>
      <c r="AS436" s="85"/>
      <c r="AU436" s="78"/>
    </row>
    <row r="437" spans="38:47" x14ac:dyDescent="0.2">
      <c r="AL437" s="26" t="str">
        <f t="shared" si="6"/>
        <v/>
      </c>
      <c r="AO437" s="85"/>
      <c r="AQ437" s="85"/>
      <c r="AS437" s="85"/>
      <c r="AU437" s="78"/>
    </row>
    <row r="438" spans="38:47" x14ac:dyDescent="0.2">
      <c r="AL438" s="26" t="str">
        <f t="shared" si="6"/>
        <v/>
      </c>
      <c r="AO438" s="85"/>
      <c r="AQ438" s="85"/>
      <c r="AS438" s="85"/>
      <c r="AU438" s="78"/>
    </row>
    <row r="439" spans="38:47" x14ac:dyDescent="0.2">
      <c r="AL439" s="26" t="str">
        <f t="shared" si="6"/>
        <v/>
      </c>
      <c r="AO439" s="85"/>
      <c r="AQ439" s="85"/>
      <c r="AS439" s="85"/>
      <c r="AU439" s="78"/>
    </row>
    <row r="440" spans="38:47" x14ac:dyDescent="0.2">
      <c r="AL440" s="26" t="str">
        <f t="shared" si="6"/>
        <v/>
      </c>
      <c r="AO440" s="85"/>
      <c r="AQ440" s="85"/>
      <c r="AS440" s="85"/>
      <c r="AU440" s="78"/>
    </row>
    <row r="441" spans="38:47" x14ac:dyDescent="0.2">
      <c r="AL441" s="26" t="str">
        <f t="shared" si="6"/>
        <v/>
      </c>
      <c r="AO441" s="85"/>
      <c r="AQ441" s="85"/>
      <c r="AS441" s="85"/>
      <c r="AU441" s="78"/>
    </row>
    <row r="442" spans="38:47" x14ac:dyDescent="0.2">
      <c r="AL442" s="26" t="str">
        <f t="shared" si="6"/>
        <v/>
      </c>
      <c r="AO442" s="85"/>
      <c r="AQ442" s="85"/>
      <c r="AS442" s="85"/>
      <c r="AU442" s="78"/>
    </row>
    <row r="443" spans="38:47" x14ac:dyDescent="0.2">
      <c r="AL443" s="26" t="str">
        <f t="shared" si="6"/>
        <v/>
      </c>
      <c r="AO443" s="85"/>
      <c r="AQ443" s="85"/>
      <c r="AS443" s="85"/>
      <c r="AU443" s="78"/>
    </row>
    <row r="444" spans="38:47" x14ac:dyDescent="0.2">
      <c r="AL444" s="26" t="str">
        <f t="shared" si="6"/>
        <v/>
      </c>
      <c r="AO444" s="85"/>
      <c r="AQ444" s="85"/>
      <c r="AS444" s="85"/>
      <c r="AU444" s="78"/>
    </row>
    <row r="445" spans="38:47" x14ac:dyDescent="0.2">
      <c r="AL445" s="26" t="str">
        <f t="shared" si="6"/>
        <v/>
      </c>
      <c r="AO445" s="85"/>
      <c r="AQ445" s="85"/>
      <c r="AS445" s="85"/>
      <c r="AU445" s="78"/>
    </row>
    <row r="446" spans="38:47" x14ac:dyDescent="0.2">
      <c r="AL446" s="26" t="str">
        <f t="shared" si="6"/>
        <v/>
      </c>
      <c r="AO446" s="85"/>
      <c r="AQ446" s="85"/>
      <c r="AS446" s="85"/>
      <c r="AU446" s="78"/>
    </row>
    <row r="447" spans="38:47" x14ac:dyDescent="0.2">
      <c r="AL447" s="26" t="str">
        <f t="shared" si="6"/>
        <v/>
      </c>
      <c r="AO447" s="85"/>
      <c r="AQ447" s="85"/>
      <c r="AS447" s="85"/>
      <c r="AU447" s="78"/>
    </row>
    <row r="448" spans="38:47" x14ac:dyDescent="0.2">
      <c r="AL448" s="26" t="str">
        <f t="shared" si="6"/>
        <v/>
      </c>
      <c r="AO448" s="85"/>
      <c r="AQ448" s="85"/>
      <c r="AS448" s="85"/>
      <c r="AU448" s="78"/>
    </row>
    <row r="449" spans="38:47" x14ac:dyDescent="0.2">
      <c r="AL449" s="26" t="str">
        <f t="shared" si="6"/>
        <v/>
      </c>
      <c r="AO449" s="85"/>
      <c r="AQ449" s="85"/>
      <c r="AS449" s="85"/>
      <c r="AU449" s="78"/>
    </row>
    <row r="450" spans="38:47" x14ac:dyDescent="0.2">
      <c r="AL450" s="26" t="str">
        <f t="shared" si="6"/>
        <v/>
      </c>
      <c r="AO450" s="85"/>
      <c r="AQ450" s="85"/>
      <c r="AS450" s="85"/>
      <c r="AU450" s="78"/>
    </row>
    <row r="451" spans="38:47" x14ac:dyDescent="0.2">
      <c r="AL451" s="26" t="str">
        <f t="shared" si="6"/>
        <v/>
      </c>
      <c r="AO451" s="85"/>
      <c r="AQ451" s="85"/>
      <c r="AS451" s="85"/>
      <c r="AU451" s="78"/>
    </row>
    <row r="452" spans="38:47" x14ac:dyDescent="0.2">
      <c r="AL452" s="26" t="str">
        <f t="shared" si="6"/>
        <v/>
      </c>
      <c r="AO452" s="85"/>
      <c r="AQ452" s="85"/>
      <c r="AS452" s="85"/>
      <c r="AU452" s="78"/>
    </row>
    <row r="453" spans="38:47" x14ac:dyDescent="0.2">
      <c r="AL453" s="26" t="str">
        <f t="shared" si="6"/>
        <v/>
      </c>
      <c r="AO453" s="85"/>
      <c r="AQ453" s="85"/>
      <c r="AS453" s="85"/>
      <c r="AU453" s="78"/>
    </row>
    <row r="454" spans="38:47" x14ac:dyDescent="0.2">
      <c r="AL454" s="26" t="str">
        <f t="shared" si="6"/>
        <v/>
      </c>
      <c r="AO454" s="85"/>
      <c r="AQ454" s="85"/>
      <c r="AS454" s="85"/>
      <c r="AU454" s="78"/>
    </row>
    <row r="455" spans="38:47" x14ac:dyDescent="0.2">
      <c r="AL455" s="26" t="str">
        <f t="shared" si="6"/>
        <v/>
      </c>
      <c r="AO455" s="85"/>
      <c r="AQ455" s="85"/>
      <c r="AS455" s="85"/>
      <c r="AU455" s="78"/>
    </row>
    <row r="456" spans="38:47" x14ac:dyDescent="0.2">
      <c r="AL456" s="26" t="str">
        <f t="shared" si="6"/>
        <v/>
      </c>
      <c r="AO456" s="85"/>
      <c r="AQ456" s="85"/>
      <c r="AS456" s="85"/>
      <c r="AU456" s="78"/>
    </row>
    <row r="457" spans="38:47" x14ac:dyDescent="0.2">
      <c r="AL457" s="26" t="str">
        <f t="shared" si="6"/>
        <v/>
      </c>
      <c r="AO457" s="85"/>
      <c r="AQ457" s="85"/>
      <c r="AS457" s="85"/>
      <c r="AU457" s="78"/>
    </row>
    <row r="458" spans="38:47" x14ac:dyDescent="0.2">
      <c r="AL458" s="26" t="str">
        <f t="shared" si="6"/>
        <v/>
      </c>
      <c r="AO458" s="85"/>
      <c r="AQ458" s="85"/>
      <c r="AS458" s="85"/>
      <c r="AU458" s="78"/>
    </row>
    <row r="459" spans="38:47" x14ac:dyDescent="0.2">
      <c r="AL459" s="26" t="str">
        <f t="shared" si="6"/>
        <v/>
      </c>
      <c r="AO459" s="85"/>
      <c r="AQ459" s="85"/>
      <c r="AS459" s="85"/>
      <c r="AU459" s="78"/>
    </row>
    <row r="460" spans="38:47" x14ac:dyDescent="0.2">
      <c r="AL460" s="26" t="str">
        <f t="shared" si="6"/>
        <v/>
      </c>
      <c r="AO460" s="85"/>
      <c r="AQ460" s="85"/>
      <c r="AS460" s="85"/>
      <c r="AU460" s="78"/>
    </row>
    <row r="461" spans="38:47" x14ac:dyDescent="0.2">
      <c r="AL461" s="26" t="str">
        <f t="shared" si="6"/>
        <v/>
      </c>
      <c r="AO461" s="85"/>
      <c r="AQ461" s="85"/>
      <c r="AS461" s="85"/>
      <c r="AU461" s="78"/>
    </row>
    <row r="462" spans="38:47" x14ac:dyDescent="0.2">
      <c r="AL462" s="26" t="str">
        <f t="shared" ref="AL462:AL500" si="7">IF(AK462="","",VLOOKUP(AK462,SEGUIMIENTOS,2,FALSE))</f>
        <v/>
      </c>
      <c r="AO462" s="85"/>
      <c r="AQ462" s="85"/>
      <c r="AS462" s="85"/>
      <c r="AU462" s="78"/>
    </row>
    <row r="463" spans="38:47" x14ac:dyDescent="0.2">
      <c r="AL463" s="26" t="str">
        <f t="shared" si="7"/>
        <v/>
      </c>
      <c r="AO463" s="85"/>
      <c r="AQ463" s="85"/>
      <c r="AS463" s="85"/>
      <c r="AU463" s="78"/>
    </row>
    <row r="464" spans="38:47" x14ac:dyDescent="0.2">
      <c r="AL464" s="26" t="str">
        <f t="shared" si="7"/>
        <v/>
      </c>
      <c r="AO464" s="85"/>
      <c r="AQ464" s="85"/>
      <c r="AS464" s="85"/>
      <c r="AU464" s="78"/>
    </row>
    <row r="465" spans="38:47" x14ac:dyDescent="0.2">
      <c r="AL465" s="26" t="str">
        <f t="shared" si="7"/>
        <v/>
      </c>
      <c r="AO465" s="85"/>
      <c r="AQ465" s="85"/>
      <c r="AS465" s="85"/>
      <c r="AU465" s="78"/>
    </row>
    <row r="466" spans="38:47" x14ac:dyDescent="0.2">
      <c r="AL466" s="26" t="str">
        <f t="shared" si="7"/>
        <v/>
      </c>
      <c r="AO466" s="85"/>
      <c r="AQ466" s="85"/>
      <c r="AS466" s="85"/>
      <c r="AU466" s="78"/>
    </row>
    <row r="467" spans="38:47" x14ac:dyDescent="0.2">
      <c r="AL467" s="26" t="str">
        <f t="shared" si="7"/>
        <v/>
      </c>
      <c r="AO467" s="85"/>
      <c r="AQ467" s="85"/>
      <c r="AS467" s="85"/>
      <c r="AU467" s="78"/>
    </row>
    <row r="468" spans="38:47" x14ac:dyDescent="0.2">
      <c r="AL468" s="26" t="str">
        <f t="shared" si="7"/>
        <v/>
      </c>
      <c r="AO468" s="85"/>
      <c r="AQ468" s="85"/>
      <c r="AS468" s="85"/>
      <c r="AU468" s="78"/>
    </row>
    <row r="469" spans="38:47" x14ac:dyDescent="0.2">
      <c r="AL469" s="26" t="str">
        <f t="shared" si="7"/>
        <v/>
      </c>
      <c r="AO469" s="85"/>
      <c r="AQ469" s="85"/>
      <c r="AS469" s="85"/>
      <c r="AU469" s="78"/>
    </row>
    <row r="470" spans="38:47" x14ac:dyDescent="0.2">
      <c r="AL470" s="26" t="str">
        <f t="shared" si="7"/>
        <v/>
      </c>
      <c r="AO470" s="85"/>
      <c r="AQ470" s="85"/>
      <c r="AS470" s="85"/>
      <c r="AU470" s="78"/>
    </row>
    <row r="471" spans="38:47" x14ac:dyDescent="0.2">
      <c r="AL471" s="26" t="str">
        <f t="shared" si="7"/>
        <v/>
      </c>
      <c r="AO471" s="85"/>
      <c r="AQ471" s="85"/>
      <c r="AS471" s="85"/>
      <c r="AU471" s="78"/>
    </row>
    <row r="472" spans="38:47" x14ac:dyDescent="0.2">
      <c r="AL472" s="26" t="str">
        <f t="shared" si="7"/>
        <v/>
      </c>
      <c r="AO472" s="85"/>
      <c r="AQ472" s="85"/>
      <c r="AS472" s="85"/>
      <c r="AU472" s="78"/>
    </row>
    <row r="473" spans="38:47" x14ac:dyDescent="0.2">
      <c r="AL473" s="26" t="str">
        <f t="shared" si="7"/>
        <v/>
      </c>
      <c r="AO473" s="85"/>
      <c r="AQ473" s="85"/>
      <c r="AS473" s="85"/>
      <c r="AU473" s="78"/>
    </row>
    <row r="474" spans="38:47" x14ac:dyDescent="0.2">
      <c r="AL474" s="26" t="str">
        <f t="shared" si="7"/>
        <v/>
      </c>
      <c r="AO474" s="85"/>
      <c r="AQ474" s="85"/>
      <c r="AS474" s="85"/>
      <c r="AU474" s="78"/>
    </row>
    <row r="475" spans="38:47" x14ac:dyDescent="0.2">
      <c r="AL475" s="26" t="str">
        <f t="shared" si="7"/>
        <v/>
      </c>
      <c r="AO475" s="85"/>
      <c r="AQ475" s="85"/>
      <c r="AS475" s="85"/>
      <c r="AU475" s="78"/>
    </row>
    <row r="476" spans="38:47" x14ac:dyDescent="0.2">
      <c r="AL476" s="26" t="str">
        <f t="shared" si="7"/>
        <v/>
      </c>
      <c r="AO476" s="85"/>
      <c r="AQ476" s="85"/>
      <c r="AS476" s="85"/>
      <c r="AU476" s="78"/>
    </row>
    <row r="477" spans="38:47" x14ac:dyDescent="0.2">
      <c r="AL477" s="26" t="str">
        <f t="shared" si="7"/>
        <v/>
      </c>
      <c r="AO477" s="85"/>
      <c r="AQ477" s="85"/>
      <c r="AS477" s="85"/>
      <c r="AU477" s="78"/>
    </row>
    <row r="478" spans="38:47" x14ac:dyDescent="0.2">
      <c r="AL478" s="26" t="str">
        <f t="shared" si="7"/>
        <v/>
      </c>
      <c r="AO478" s="85"/>
      <c r="AQ478" s="85"/>
      <c r="AS478" s="85"/>
      <c r="AU478" s="78"/>
    </row>
    <row r="479" spans="38:47" x14ac:dyDescent="0.2">
      <c r="AL479" s="26" t="str">
        <f t="shared" si="7"/>
        <v/>
      </c>
      <c r="AO479" s="85"/>
      <c r="AQ479" s="85"/>
      <c r="AS479" s="85"/>
      <c r="AU479" s="78"/>
    </row>
    <row r="480" spans="38:47" x14ac:dyDescent="0.2">
      <c r="AL480" s="26" t="str">
        <f t="shared" si="7"/>
        <v/>
      </c>
      <c r="AO480" s="85"/>
      <c r="AQ480" s="85"/>
      <c r="AS480" s="85"/>
      <c r="AU480" s="78"/>
    </row>
    <row r="481" spans="38:47" x14ac:dyDescent="0.2">
      <c r="AL481" s="26" t="str">
        <f t="shared" si="7"/>
        <v/>
      </c>
      <c r="AO481" s="85"/>
      <c r="AQ481" s="85"/>
      <c r="AS481" s="85"/>
      <c r="AU481" s="78"/>
    </row>
    <row r="482" spans="38:47" x14ac:dyDescent="0.2">
      <c r="AL482" s="26" t="str">
        <f t="shared" si="7"/>
        <v/>
      </c>
      <c r="AO482" s="85"/>
      <c r="AQ482" s="85"/>
      <c r="AS482" s="85"/>
      <c r="AU482" s="78"/>
    </row>
    <row r="483" spans="38:47" x14ac:dyDescent="0.2">
      <c r="AL483" s="26" t="str">
        <f t="shared" si="7"/>
        <v/>
      </c>
      <c r="AO483" s="85"/>
      <c r="AQ483" s="85"/>
      <c r="AS483" s="85"/>
      <c r="AU483" s="78"/>
    </row>
    <row r="484" spans="38:47" x14ac:dyDescent="0.2">
      <c r="AL484" s="26" t="str">
        <f t="shared" si="7"/>
        <v/>
      </c>
      <c r="AO484" s="85"/>
      <c r="AQ484" s="85"/>
      <c r="AS484" s="85"/>
      <c r="AU484" s="78"/>
    </row>
    <row r="485" spans="38:47" x14ac:dyDescent="0.2">
      <c r="AL485" s="26" t="str">
        <f t="shared" si="7"/>
        <v/>
      </c>
      <c r="AO485" s="85"/>
      <c r="AQ485" s="85"/>
      <c r="AS485" s="85"/>
      <c r="AU485" s="78"/>
    </row>
    <row r="486" spans="38:47" x14ac:dyDescent="0.2">
      <c r="AL486" s="26" t="str">
        <f t="shared" si="7"/>
        <v/>
      </c>
      <c r="AO486" s="85"/>
      <c r="AQ486" s="85"/>
      <c r="AS486" s="85"/>
      <c r="AU486" s="78"/>
    </row>
    <row r="487" spans="38:47" x14ac:dyDescent="0.2">
      <c r="AL487" s="26" t="str">
        <f t="shared" si="7"/>
        <v/>
      </c>
      <c r="AO487" s="85"/>
      <c r="AQ487" s="85"/>
      <c r="AS487" s="85"/>
      <c r="AU487" s="78"/>
    </row>
    <row r="488" spans="38:47" x14ac:dyDescent="0.2">
      <c r="AL488" s="26" t="str">
        <f t="shared" si="7"/>
        <v/>
      </c>
      <c r="AO488" s="85"/>
      <c r="AQ488" s="85"/>
      <c r="AS488" s="85"/>
      <c r="AU488" s="78"/>
    </row>
    <row r="489" spans="38:47" x14ac:dyDescent="0.2">
      <c r="AL489" s="26" t="str">
        <f t="shared" si="7"/>
        <v/>
      </c>
      <c r="AO489" s="85"/>
      <c r="AQ489" s="85"/>
      <c r="AS489" s="85"/>
      <c r="AU489" s="78"/>
    </row>
    <row r="490" spans="38:47" x14ac:dyDescent="0.2">
      <c r="AL490" s="26" t="str">
        <f t="shared" si="7"/>
        <v/>
      </c>
      <c r="AO490" s="85"/>
      <c r="AQ490" s="85"/>
      <c r="AS490" s="85"/>
      <c r="AU490" s="78"/>
    </row>
    <row r="491" spans="38:47" x14ac:dyDescent="0.2">
      <c r="AL491" s="26" t="str">
        <f t="shared" si="7"/>
        <v/>
      </c>
      <c r="AO491" s="85"/>
      <c r="AQ491" s="85"/>
      <c r="AS491" s="85"/>
      <c r="AU491" s="78"/>
    </row>
    <row r="492" spans="38:47" x14ac:dyDescent="0.2">
      <c r="AL492" s="26" t="str">
        <f t="shared" si="7"/>
        <v/>
      </c>
      <c r="AO492" s="85"/>
      <c r="AQ492" s="85"/>
      <c r="AS492" s="85"/>
      <c r="AU492" s="78"/>
    </row>
    <row r="493" spans="38:47" x14ac:dyDescent="0.2">
      <c r="AL493" s="26" t="str">
        <f t="shared" si="7"/>
        <v/>
      </c>
      <c r="AO493" s="85"/>
      <c r="AQ493" s="85"/>
      <c r="AS493" s="85"/>
      <c r="AU493" s="78"/>
    </row>
    <row r="494" spans="38:47" x14ac:dyDescent="0.2">
      <c r="AL494" s="26" t="str">
        <f t="shared" si="7"/>
        <v/>
      </c>
      <c r="AO494" s="85"/>
      <c r="AQ494" s="85"/>
      <c r="AS494" s="85"/>
      <c r="AU494" s="78"/>
    </row>
    <row r="495" spans="38:47" x14ac:dyDescent="0.2">
      <c r="AL495" s="26" t="str">
        <f t="shared" si="7"/>
        <v/>
      </c>
      <c r="AO495" s="85"/>
      <c r="AQ495" s="85"/>
      <c r="AS495" s="85"/>
      <c r="AU495" s="78"/>
    </row>
    <row r="496" spans="38:47" x14ac:dyDescent="0.2">
      <c r="AL496" s="26" t="str">
        <f t="shared" si="7"/>
        <v/>
      </c>
      <c r="AO496" s="85"/>
      <c r="AQ496" s="85"/>
      <c r="AS496" s="85"/>
      <c r="AU496" s="78"/>
    </row>
    <row r="497" spans="38:47" x14ac:dyDescent="0.2">
      <c r="AL497" s="26" t="str">
        <f t="shared" si="7"/>
        <v/>
      </c>
      <c r="AO497" s="85"/>
      <c r="AQ497" s="85"/>
      <c r="AS497" s="85"/>
      <c r="AU497" s="78"/>
    </row>
    <row r="498" spans="38:47" x14ac:dyDescent="0.2">
      <c r="AL498" s="26" t="str">
        <f t="shared" si="7"/>
        <v/>
      </c>
      <c r="AO498" s="85"/>
      <c r="AQ498" s="85"/>
      <c r="AS498" s="85"/>
      <c r="AU498" s="78"/>
    </row>
    <row r="499" spans="38:47" x14ac:dyDescent="0.2">
      <c r="AL499" s="26" t="str">
        <f t="shared" si="7"/>
        <v/>
      </c>
      <c r="AO499" s="85"/>
      <c r="AQ499" s="85"/>
      <c r="AS499" s="85"/>
      <c r="AU499" s="78"/>
    </row>
    <row r="500" spans="38:47" x14ac:dyDescent="0.2">
      <c r="AL500" s="26" t="str">
        <f t="shared" si="7"/>
        <v/>
      </c>
      <c r="AO500" s="85"/>
      <c r="AQ500" s="85"/>
      <c r="AS500" s="85"/>
      <c r="AU500" s="78"/>
    </row>
    <row r="501" spans="38:47" x14ac:dyDescent="0.2">
      <c r="AO501" s="85"/>
      <c r="AQ501" s="85"/>
      <c r="AS501" s="85"/>
      <c r="AU501" s="78"/>
    </row>
    <row r="502" spans="38:47" x14ac:dyDescent="0.2">
      <c r="AO502" s="85"/>
      <c r="AQ502" s="85"/>
      <c r="AS502" s="85"/>
      <c r="AU502" s="78"/>
    </row>
    <row r="503" spans="38:47" x14ac:dyDescent="0.2">
      <c r="AO503" s="85"/>
      <c r="AQ503" s="85"/>
      <c r="AS503" s="85"/>
      <c r="AU503" s="78"/>
    </row>
    <row r="504" spans="38:47" x14ac:dyDescent="0.2">
      <c r="AO504" s="85"/>
      <c r="AQ504" s="85"/>
      <c r="AS504" s="85"/>
      <c r="AU504" s="78"/>
    </row>
    <row r="505" spans="38:47" x14ac:dyDescent="0.2">
      <c r="AO505" s="85"/>
      <c r="AQ505" s="85"/>
      <c r="AS505" s="85"/>
      <c r="AU505" s="78"/>
    </row>
    <row r="506" spans="38:47" x14ac:dyDescent="0.2">
      <c r="AO506" s="85"/>
      <c r="AQ506" s="85"/>
      <c r="AS506" s="85"/>
      <c r="AU506" s="78"/>
    </row>
    <row r="507" spans="38:47" x14ac:dyDescent="0.2">
      <c r="AO507" s="85"/>
      <c r="AQ507" s="85"/>
      <c r="AS507" s="85"/>
      <c r="AU507" s="78"/>
    </row>
    <row r="508" spans="38:47" x14ac:dyDescent="0.2">
      <c r="AO508" s="85"/>
      <c r="AQ508" s="85"/>
      <c r="AS508" s="85"/>
      <c r="AU508" s="78"/>
    </row>
    <row r="509" spans="38:47" x14ac:dyDescent="0.2">
      <c r="AO509" s="85"/>
      <c r="AQ509" s="85"/>
      <c r="AS509" s="85"/>
      <c r="AU509" s="78"/>
    </row>
    <row r="510" spans="38:47" x14ac:dyDescent="0.2">
      <c r="AO510" s="85"/>
      <c r="AQ510" s="85"/>
      <c r="AS510" s="85"/>
      <c r="AU510" s="78"/>
    </row>
    <row r="511" spans="38:47" x14ac:dyDescent="0.2">
      <c r="AO511" s="85"/>
      <c r="AQ511" s="85"/>
      <c r="AS511" s="85"/>
      <c r="AU511" s="78"/>
    </row>
    <row r="512" spans="38:47" x14ac:dyDescent="0.2">
      <c r="AO512" s="85"/>
      <c r="AQ512" s="85"/>
      <c r="AS512" s="85"/>
      <c r="AU512" s="78"/>
    </row>
    <row r="513" spans="41:47" x14ac:dyDescent="0.2">
      <c r="AO513" s="85"/>
      <c r="AQ513" s="85"/>
      <c r="AS513" s="85"/>
      <c r="AU513" s="78"/>
    </row>
    <row r="514" spans="41:47" x14ac:dyDescent="0.2">
      <c r="AO514" s="85"/>
      <c r="AQ514" s="85"/>
      <c r="AS514" s="85"/>
      <c r="AU514" s="78"/>
    </row>
    <row r="515" spans="41:47" x14ac:dyDescent="0.2">
      <c r="AO515" s="85"/>
      <c r="AQ515" s="85"/>
      <c r="AS515" s="85"/>
      <c r="AU515" s="78"/>
    </row>
    <row r="516" spans="41:47" x14ac:dyDescent="0.2">
      <c r="AO516" s="85"/>
      <c r="AQ516" s="85"/>
      <c r="AS516" s="85"/>
      <c r="AU516" s="78"/>
    </row>
    <row r="517" spans="41:47" x14ac:dyDescent="0.2">
      <c r="AO517" s="85"/>
      <c r="AQ517" s="85"/>
      <c r="AS517" s="85"/>
      <c r="AU517" s="78"/>
    </row>
    <row r="518" spans="41:47" x14ac:dyDescent="0.2">
      <c r="AO518" s="85"/>
      <c r="AQ518" s="85"/>
      <c r="AS518" s="85"/>
      <c r="AU518" s="78"/>
    </row>
    <row r="519" spans="41:47" x14ac:dyDescent="0.2">
      <c r="AO519" s="85"/>
      <c r="AQ519" s="85"/>
      <c r="AS519" s="85"/>
      <c r="AU519" s="78"/>
    </row>
    <row r="520" spans="41:47" x14ac:dyDescent="0.2">
      <c r="AO520" s="85"/>
      <c r="AQ520" s="85"/>
      <c r="AS520" s="85"/>
      <c r="AU520" s="78"/>
    </row>
    <row r="521" spans="41:47" x14ac:dyDescent="0.2">
      <c r="AO521" s="85"/>
      <c r="AQ521" s="85"/>
      <c r="AS521" s="85"/>
      <c r="AU521" s="78"/>
    </row>
    <row r="522" spans="41:47" x14ac:dyDescent="0.2">
      <c r="AO522" s="85"/>
      <c r="AQ522" s="85"/>
      <c r="AS522" s="85"/>
      <c r="AU522" s="78"/>
    </row>
    <row r="523" spans="41:47" x14ac:dyDescent="0.2">
      <c r="AO523" s="85"/>
      <c r="AQ523" s="85"/>
      <c r="AS523" s="85"/>
      <c r="AU523" s="78"/>
    </row>
    <row r="524" spans="41:47" x14ac:dyDescent="0.2">
      <c r="AO524" s="85"/>
      <c r="AQ524" s="85"/>
      <c r="AS524" s="85"/>
      <c r="AU524" s="78"/>
    </row>
    <row r="525" spans="41:47" x14ac:dyDescent="0.2">
      <c r="AO525" s="85"/>
      <c r="AQ525" s="85"/>
      <c r="AS525" s="85"/>
      <c r="AU525" s="78"/>
    </row>
    <row r="526" spans="41:47" x14ac:dyDescent="0.2">
      <c r="AO526" s="85"/>
      <c r="AQ526" s="85"/>
      <c r="AS526" s="85"/>
      <c r="AU526" s="78"/>
    </row>
    <row r="527" spans="41:47" x14ac:dyDescent="0.2">
      <c r="AO527" s="85"/>
      <c r="AQ527" s="85"/>
      <c r="AS527" s="85"/>
      <c r="AU527" s="78"/>
    </row>
    <row r="528" spans="41:47" x14ac:dyDescent="0.2">
      <c r="AO528" s="85"/>
      <c r="AQ528" s="85"/>
      <c r="AS528" s="85"/>
      <c r="AU528" s="78"/>
    </row>
    <row r="529" spans="41:47" x14ac:dyDescent="0.2">
      <c r="AO529" s="85"/>
      <c r="AQ529" s="85"/>
      <c r="AS529" s="85"/>
      <c r="AU529" s="78"/>
    </row>
    <row r="530" spans="41:47" x14ac:dyDescent="0.2">
      <c r="AO530" s="85"/>
      <c r="AQ530" s="85"/>
      <c r="AS530" s="85"/>
      <c r="AU530" s="78"/>
    </row>
    <row r="531" spans="41:47" x14ac:dyDescent="0.2">
      <c r="AO531" s="85"/>
      <c r="AQ531" s="85"/>
      <c r="AS531" s="85"/>
      <c r="AU531" s="78"/>
    </row>
    <row r="532" spans="41:47" x14ac:dyDescent="0.2">
      <c r="AO532" s="85"/>
      <c r="AQ532" s="85"/>
      <c r="AS532" s="85"/>
      <c r="AU532" s="78"/>
    </row>
    <row r="533" spans="41:47" x14ac:dyDescent="0.2">
      <c r="AO533" s="85"/>
      <c r="AQ533" s="85"/>
      <c r="AS533" s="85"/>
      <c r="AU533" s="78"/>
    </row>
    <row r="534" spans="41:47" x14ac:dyDescent="0.2">
      <c r="AO534" s="85"/>
      <c r="AQ534" s="85"/>
      <c r="AS534" s="85"/>
      <c r="AU534" s="78"/>
    </row>
    <row r="535" spans="41:47" x14ac:dyDescent="0.2">
      <c r="AO535" s="85"/>
      <c r="AQ535" s="85"/>
      <c r="AS535" s="85"/>
      <c r="AU535" s="78"/>
    </row>
    <row r="536" spans="41:47" x14ac:dyDescent="0.2">
      <c r="AO536" s="85"/>
      <c r="AQ536" s="85"/>
      <c r="AS536" s="85"/>
      <c r="AU536" s="78"/>
    </row>
    <row r="537" spans="41:47" x14ac:dyDescent="0.2">
      <c r="AO537" s="85"/>
      <c r="AQ537" s="85"/>
      <c r="AS537" s="85"/>
      <c r="AU537" s="78"/>
    </row>
    <row r="538" spans="41:47" x14ac:dyDescent="0.2">
      <c r="AO538" s="85"/>
      <c r="AQ538" s="85"/>
      <c r="AS538" s="85"/>
      <c r="AU538" s="78"/>
    </row>
    <row r="539" spans="41:47" x14ac:dyDescent="0.2">
      <c r="AO539" s="85"/>
      <c r="AQ539" s="85"/>
      <c r="AS539" s="85"/>
      <c r="AU539" s="78"/>
    </row>
    <row r="540" spans="41:47" x14ac:dyDescent="0.2">
      <c r="AO540" s="85"/>
      <c r="AQ540" s="85"/>
      <c r="AS540" s="85"/>
      <c r="AU540" s="78"/>
    </row>
    <row r="541" spans="41:47" x14ac:dyDescent="0.2">
      <c r="AO541" s="85"/>
      <c r="AQ541" s="85"/>
      <c r="AS541" s="85"/>
      <c r="AU541" s="78"/>
    </row>
    <row r="542" spans="41:47" x14ac:dyDescent="0.2">
      <c r="AO542" s="85"/>
      <c r="AQ542" s="85"/>
      <c r="AS542" s="85"/>
      <c r="AU542" s="78"/>
    </row>
    <row r="543" spans="41:47" x14ac:dyDescent="0.2">
      <c r="AO543" s="85"/>
      <c r="AQ543" s="85"/>
      <c r="AS543" s="85"/>
      <c r="AU543" s="78"/>
    </row>
    <row r="544" spans="41:47" x14ac:dyDescent="0.2">
      <c r="AO544" s="85"/>
      <c r="AQ544" s="85"/>
      <c r="AS544" s="85"/>
      <c r="AU544" s="78"/>
    </row>
    <row r="545" spans="41:47" x14ac:dyDescent="0.2">
      <c r="AO545" s="85"/>
      <c r="AQ545" s="85"/>
      <c r="AS545" s="85"/>
      <c r="AU545" s="78"/>
    </row>
    <row r="546" spans="41:47" x14ac:dyDescent="0.2">
      <c r="AO546" s="85"/>
      <c r="AQ546" s="85"/>
      <c r="AS546" s="85"/>
      <c r="AU546" s="78"/>
    </row>
    <row r="547" spans="41:47" x14ac:dyDescent="0.2">
      <c r="AO547" s="85"/>
      <c r="AQ547" s="85"/>
      <c r="AS547" s="85"/>
      <c r="AU547" s="78"/>
    </row>
    <row r="548" spans="41:47" x14ac:dyDescent="0.2">
      <c r="AO548" s="85"/>
      <c r="AQ548" s="85"/>
      <c r="AS548" s="85"/>
      <c r="AU548" s="78"/>
    </row>
    <row r="549" spans="41:47" x14ac:dyDescent="0.2">
      <c r="AO549" s="85"/>
      <c r="AQ549" s="85"/>
      <c r="AS549" s="85"/>
      <c r="AU549" s="78"/>
    </row>
    <row r="550" spans="41:47" x14ac:dyDescent="0.2">
      <c r="AO550" s="85"/>
      <c r="AQ550" s="85"/>
      <c r="AS550" s="85"/>
      <c r="AU550" s="78"/>
    </row>
    <row r="551" spans="41:47" x14ac:dyDescent="0.2">
      <c r="AO551" s="85"/>
      <c r="AQ551" s="85"/>
      <c r="AS551" s="85"/>
      <c r="AU551" s="78"/>
    </row>
    <row r="552" spans="41:47" x14ac:dyDescent="0.2">
      <c r="AO552" s="85"/>
      <c r="AQ552" s="85"/>
      <c r="AS552" s="85"/>
      <c r="AU552" s="78"/>
    </row>
    <row r="553" spans="41:47" x14ac:dyDescent="0.2">
      <c r="AO553" s="85"/>
      <c r="AQ553" s="85"/>
      <c r="AS553" s="85"/>
      <c r="AU553" s="78"/>
    </row>
    <row r="554" spans="41:47" x14ac:dyDescent="0.2">
      <c r="AO554" s="85"/>
      <c r="AQ554" s="85"/>
      <c r="AS554" s="85"/>
      <c r="AU554" s="78"/>
    </row>
    <row r="555" spans="41:47" x14ac:dyDescent="0.2">
      <c r="AO555" s="85"/>
      <c r="AQ555" s="85"/>
      <c r="AS555" s="85"/>
      <c r="AU555" s="78"/>
    </row>
    <row r="556" spans="41:47" x14ac:dyDescent="0.2">
      <c r="AO556" s="85"/>
      <c r="AQ556" s="85"/>
      <c r="AS556" s="85"/>
      <c r="AU556" s="78"/>
    </row>
    <row r="557" spans="41:47" x14ac:dyDescent="0.2">
      <c r="AO557" s="85"/>
      <c r="AQ557" s="85"/>
      <c r="AS557" s="85"/>
      <c r="AU557" s="78"/>
    </row>
    <row r="558" spans="41:47" x14ac:dyDescent="0.2">
      <c r="AO558" s="85"/>
      <c r="AQ558" s="85"/>
      <c r="AS558" s="85"/>
      <c r="AU558" s="78"/>
    </row>
    <row r="559" spans="41:47" x14ac:dyDescent="0.2">
      <c r="AO559" s="85"/>
      <c r="AQ559" s="85"/>
      <c r="AS559" s="85"/>
      <c r="AU559" s="78"/>
    </row>
    <row r="560" spans="41:47" x14ac:dyDescent="0.2">
      <c r="AO560" s="85"/>
      <c r="AQ560" s="85"/>
      <c r="AS560" s="85"/>
      <c r="AU560" s="78"/>
    </row>
    <row r="561" spans="41:47" x14ac:dyDescent="0.2">
      <c r="AO561" s="85"/>
      <c r="AQ561" s="85"/>
      <c r="AS561" s="85"/>
      <c r="AU561" s="78"/>
    </row>
    <row r="562" spans="41:47" x14ac:dyDescent="0.2">
      <c r="AO562" s="85"/>
      <c r="AQ562" s="85"/>
      <c r="AS562" s="85"/>
      <c r="AU562" s="78"/>
    </row>
    <row r="563" spans="41:47" x14ac:dyDescent="0.2">
      <c r="AO563" s="85"/>
      <c r="AQ563" s="85"/>
      <c r="AS563" s="85"/>
      <c r="AU563" s="78"/>
    </row>
    <row r="564" spans="41:47" x14ac:dyDescent="0.2">
      <c r="AO564" s="85"/>
      <c r="AQ564" s="85"/>
      <c r="AS564" s="85"/>
      <c r="AU564" s="78"/>
    </row>
    <row r="565" spans="41:47" x14ac:dyDescent="0.2">
      <c r="AO565" s="85"/>
      <c r="AQ565" s="85"/>
      <c r="AS565" s="85"/>
      <c r="AU565" s="78"/>
    </row>
    <row r="566" spans="41:47" x14ac:dyDescent="0.2">
      <c r="AO566" s="85"/>
      <c r="AQ566" s="85"/>
      <c r="AS566" s="85"/>
      <c r="AU566" s="78"/>
    </row>
    <row r="567" spans="41:47" x14ac:dyDescent="0.2">
      <c r="AO567" s="85"/>
      <c r="AQ567" s="85"/>
      <c r="AS567" s="85"/>
      <c r="AU567" s="78"/>
    </row>
    <row r="568" spans="41:47" x14ac:dyDescent="0.2">
      <c r="AO568" s="85"/>
      <c r="AQ568" s="85"/>
      <c r="AS568" s="85"/>
      <c r="AU568" s="78"/>
    </row>
    <row r="569" spans="41:47" x14ac:dyDescent="0.2">
      <c r="AO569" s="85"/>
      <c r="AQ569" s="85"/>
      <c r="AS569" s="85"/>
      <c r="AU569" s="78"/>
    </row>
    <row r="570" spans="41:47" x14ac:dyDescent="0.2">
      <c r="AO570" s="85"/>
      <c r="AQ570" s="85"/>
      <c r="AS570" s="85"/>
      <c r="AU570" s="78"/>
    </row>
    <row r="571" spans="41:47" x14ac:dyDescent="0.2">
      <c r="AO571" s="85"/>
      <c r="AQ571" s="85"/>
      <c r="AS571" s="85"/>
      <c r="AU571" s="78"/>
    </row>
    <row r="572" spans="41:47" x14ac:dyDescent="0.2">
      <c r="AO572" s="85"/>
      <c r="AQ572" s="85"/>
      <c r="AS572" s="85"/>
      <c r="AU572" s="78"/>
    </row>
    <row r="573" spans="41:47" x14ac:dyDescent="0.2">
      <c r="AO573" s="85"/>
      <c r="AQ573" s="85"/>
      <c r="AS573" s="85"/>
      <c r="AU573" s="78"/>
    </row>
    <row r="574" spans="41:47" x14ac:dyDescent="0.2">
      <c r="AO574" s="85"/>
      <c r="AQ574" s="85"/>
      <c r="AS574" s="85"/>
      <c r="AU574" s="78"/>
    </row>
    <row r="575" spans="41:47" x14ac:dyDescent="0.2">
      <c r="AO575" s="85"/>
      <c r="AQ575" s="85"/>
      <c r="AS575" s="85"/>
      <c r="AU575" s="78"/>
    </row>
    <row r="576" spans="41:47" x14ac:dyDescent="0.2">
      <c r="AO576" s="85"/>
      <c r="AQ576" s="85"/>
      <c r="AS576" s="85"/>
      <c r="AU576" s="78"/>
    </row>
    <row r="577" spans="41:47" x14ac:dyDescent="0.2">
      <c r="AO577" s="85"/>
      <c r="AQ577" s="85"/>
      <c r="AS577" s="85"/>
      <c r="AU577" s="78"/>
    </row>
    <row r="578" spans="41:47" x14ac:dyDescent="0.2">
      <c r="AO578" s="85"/>
      <c r="AQ578" s="85"/>
      <c r="AS578" s="85"/>
      <c r="AU578" s="78"/>
    </row>
    <row r="579" spans="41:47" x14ac:dyDescent="0.2">
      <c r="AO579" s="85"/>
      <c r="AQ579" s="85"/>
      <c r="AS579" s="85"/>
      <c r="AU579" s="78"/>
    </row>
    <row r="580" spans="41:47" x14ac:dyDescent="0.2">
      <c r="AO580" s="85"/>
      <c r="AQ580" s="85"/>
      <c r="AS580" s="85"/>
      <c r="AU580" s="78"/>
    </row>
    <row r="581" spans="41:47" x14ac:dyDescent="0.2">
      <c r="AO581" s="85"/>
      <c r="AQ581" s="85"/>
      <c r="AS581" s="85"/>
      <c r="AU581" s="78"/>
    </row>
    <row r="582" spans="41:47" x14ac:dyDescent="0.2">
      <c r="AO582" s="85"/>
      <c r="AQ582" s="85"/>
      <c r="AS582" s="85"/>
      <c r="AU582" s="78"/>
    </row>
    <row r="583" spans="41:47" x14ac:dyDescent="0.2">
      <c r="AO583" s="85"/>
      <c r="AQ583" s="85"/>
      <c r="AS583" s="85"/>
      <c r="AU583" s="78"/>
    </row>
    <row r="584" spans="41:47" x14ac:dyDescent="0.2">
      <c r="AO584" s="85"/>
      <c r="AQ584" s="85"/>
      <c r="AS584" s="85"/>
      <c r="AU584" s="78"/>
    </row>
    <row r="585" spans="41:47" x14ac:dyDescent="0.2">
      <c r="AO585" s="85"/>
      <c r="AQ585" s="85"/>
      <c r="AS585" s="85"/>
      <c r="AU585" s="78"/>
    </row>
    <row r="586" spans="41:47" x14ac:dyDescent="0.2">
      <c r="AO586" s="85"/>
      <c r="AQ586" s="85"/>
      <c r="AS586" s="85"/>
      <c r="AU586" s="78"/>
    </row>
    <row r="587" spans="41:47" x14ac:dyDescent="0.2">
      <c r="AO587" s="85"/>
      <c r="AQ587" s="85"/>
      <c r="AS587" s="85"/>
      <c r="AU587" s="78"/>
    </row>
    <row r="588" spans="41:47" x14ac:dyDescent="0.2">
      <c r="AO588" s="85"/>
      <c r="AQ588" s="85"/>
      <c r="AS588" s="85"/>
      <c r="AU588" s="78"/>
    </row>
    <row r="589" spans="41:47" x14ac:dyDescent="0.2">
      <c r="AO589" s="85"/>
      <c r="AQ589" s="85"/>
      <c r="AS589" s="85"/>
      <c r="AU589" s="78"/>
    </row>
    <row r="590" spans="41:47" x14ac:dyDescent="0.2">
      <c r="AO590" s="85"/>
      <c r="AQ590" s="85"/>
      <c r="AS590" s="85"/>
      <c r="AU590" s="78"/>
    </row>
    <row r="591" spans="41:47" x14ac:dyDescent="0.2">
      <c r="AO591" s="85"/>
      <c r="AQ591" s="85"/>
      <c r="AS591" s="85"/>
      <c r="AU591" s="78"/>
    </row>
    <row r="592" spans="41:47" x14ac:dyDescent="0.2">
      <c r="AO592" s="85"/>
      <c r="AQ592" s="85"/>
      <c r="AS592" s="85"/>
      <c r="AU592" s="78"/>
    </row>
    <row r="593" spans="41:47" x14ac:dyDescent="0.2">
      <c r="AO593" s="85"/>
      <c r="AQ593" s="85"/>
      <c r="AS593" s="85"/>
      <c r="AU593" s="78"/>
    </row>
    <row r="594" spans="41:47" x14ac:dyDescent="0.2">
      <c r="AO594" s="85"/>
      <c r="AQ594" s="85"/>
      <c r="AS594" s="85"/>
      <c r="AU594" s="78"/>
    </row>
    <row r="595" spans="41:47" x14ac:dyDescent="0.2">
      <c r="AO595" s="85"/>
      <c r="AQ595" s="85"/>
      <c r="AS595" s="85"/>
      <c r="AU595" s="78"/>
    </row>
    <row r="596" spans="41:47" x14ac:dyDescent="0.2">
      <c r="AO596" s="85"/>
      <c r="AQ596" s="85"/>
      <c r="AS596" s="85"/>
      <c r="AU596" s="78"/>
    </row>
    <row r="597" spans="41:47" x14ac:dyDescent="0.2">
      <c r="AO597" s="85"/>
      <c r="AQ597" s="85"/>
      <c r="AS597" s="85"/>
      <c r="AU597" s="78"/>
    </row>
    <row r="598" spans="41:47" x14ac:dyDescent="0.2">
      <c r="AO598" s="85"/>
      <c r="AQ598" s="85"/>
      <c r="AS598" s="85"/>
      <c r="AU598" s="78"/>
    </row>
    <row r="599" spans="41:47" x14ac:dyDescent="0.2">
      <c r="AO599" s="85"/>
      <c r="AQ599" s="85"/>
      <c r="AS599" s="85"/>
      <c r="AU599" s="78"/>
    </row>
    <row r="600" spans="41:47" x14ac:dyDescent="0.2">
      <c r="AO600" s="85"/>
      <c r="AQ600" s="85"/>
      <c r="AS600" s="85"/>
      <c r="AU600" s="78"/>
    </row>
    <row r="601" spans="41:47" x14ac:dyDescent="0.2">
      <c r="AO601" s="85"/>
      <c r="AQ601" s="85"/>
      <c r="AS601" s="85"/>
      <c r="AU601" s="78"/>
    </row>
    <row r="602" spans="41:47" x14ac:dyDescent="0.2">
      <c r="AO602" s="85"/>
      <c r="AQ602" s="85"/>
      <c r="AS602" s="85"/>
      <c r="AU602" s="78"/>
    </row>
    <row r="603" spans="41:47" x14ac:dyDescent="0.2">
      <c r="AO603" s="85"/>
      <c r="AQ603" s="85"/>
      <c r="AS603" s="85"/>
      <c r="AU603" s="78"/>
    </row>
    <row r="604" spans="41:47" x14ac:dyDescent="0.2">
      <c r="AO604" s="85"/>
      <c r="AQ604" s="85"/>
      <c r="AS604" s="85"/>
      <c r="AU604" s="78"/>
    </row>
    <row r="605" spans="41:47" x14ac:dyDescent="0.2">
      <c r="AO605" s="85"/>
      <c r="AQ605" s="85"/>
      <c r="AS605" s="85"/>
      <c r="AU605" s="78"/>
    </row>
    <row r="606" spans="41:47" x14ac:dyDescent="0.2">
      <c r="AO606" s="85"/>
      <c r="AQ606" s="85"/>
      <c r="AS606" s="85"/>
      <c r="AU606" s="78"/>
    </row>
    <row r="607" spans="41:47" x14ac:dyDescent="0.2">
      <c r="AO607" s="85"/>
      <c r="AQ607" s="85"/>
      <c r="AS607" s="85"/>
      <c r="AU607" s="78"/>
    </row>
    <row r="608" spans="41:47" x14ac:dyDescent="0.2">
      <c r="AO608" s="85"/>
      <c r="AQ608" s="85"/>
      <c r="AS608" s="85"/>
      <c r="AU608" s="78"/>
    </row>
    <row r="609" spans="41:47" x14ac:dyDescent="0.2">
      <c r="AO609" s="85"/>
      <c r="AQ609" s="85"/>
      <c r="AS609" s="85"/>
      <c r="AU609" s="78"/>
    </row>
    <row r="610" spans="41:47" x14ac:dyDescent="0.2">
      <c r="AO610" s="85"/>
      <c r="AQ610" s="85"/>
      <c r="AS610" s="85"/>
      <c r="AU610" s="78"/>
    </row>
    <row r="611" spans="41:47" x14ac:dyDescent="0.2">
      <c r="AO611" s="85"/>
      <c r="AQ611" s="85"/>
      <c r="AS611" s="85"/>
      <c r="AU611" s="78"/>
    </row>
    <row r="612" spans="41:47" x14ac:dyDescent="0.2">
      <c r="AO612" s="85"/>
      <c r="AQ612" s="85"/>
      <c r="AS612" s="85"/>
      <c r="AU612" s="78"/>
    </row>
    <row r="613" spans="41:47" x14ac:dyDescent="0.2">
      <c r="AO613" s="85"/>
      <c r="AQ613" s="85"/>
      <c r="AS613" s="85"/>
      <c r="AU613" s="78"/>
    </row>
    <row r="614" spans="41:47" x14ac:dyDescent="0.2">
      <c r="AO614" s="85"/>
      <c r="AQ614" s="85"/>
      <c r="AS614" s="85"/>
      <c r="AU614" s="78"/>
    </row>
    <row r="615" spans="41:47" x14ac:dyDescent="0.2">
      <c r="AO615" s="85"/>
      <c r="AQ615" s="85"/>
      <c r="AS615" s="85"/>
      <c r="AU615" s="78"/>
    </row>
    <row r="616" spans="41:47" x14ac:dyDescent="0.2">
      <c r="AO616" s="85"/>
      <c r="AQ616" s="85"/>
      <c r="AS616" s="85"/>
      <c r="AU616" s="78"/>
    </row>
    <row r="617" spans="41:47" x14ac:dyDescent="0.2">
      <c r="AO617" s="85"/>
      <c r="AQ617" s="85"/>
      <c r="AS617" s="85"/>
      <c r="AU617" s="78"/>
    </row>
    <row r="618" spans="41:47" x14ac:dyDescent="0.2">
      <c r="AO618" s="85"/>
      <c r="AQ618" s="85"/>
      <c r="AS618" s="85"/>
      <c r="AU618" s="78"/>
    </row>
    <row r="619" spans="41:47" x14ac:dyDescent="0.2">
      <c r="AO619" s="85"/>
      <c r="AQ619" s="85"/>
      <c r="AS619" s="85"/>
      <c r="AU619" s="78"/>
    </row>
    <row r="620" spans="41:47" x14ac:dyDescent="0.2">
      <c r="AO620" s="85"/>
      <c r="AQ620" s="85"/>
      <c r="AS620" s="85"/>
      <c r="AU620" s="78"/>
    </row>
    <row r="621" spans="41:47" x14ac:dyDescent="0.2">
      <c r="AO621" s="85"/>
      <c r="AQ621" s="85"/>
      <c r="AS621" s="85"/>
      <c r="AU621" s="78"/>
    </row>
    <row r="622" spans="41:47" x14ac:dyDescent="0.2">
      <c r="AO622" s="85"/>
      <c r="AQ622" s="85"/>
      <c r="AS622" s="85"/>
      <c r="AU622" s="78"/>
    </row>
    <row r="623" spans="41:47" x14ac:dyDescent="0.2">
      <c r="AO623" s="85"/>
      <c r="AQ623" s="85"/>
      <c r="AS623" s="85"/>
      <c r="AU623" s="78"/>
    </row>
    <row r="624" spans="41:47" x14ac:dyDescent="0.2">
      <c r="AO624" s="85"/>
      <c r="AQ624" s="85"/>
      <c r="AS624" s="85"/>
      <c r="AU624" s="78"/>
    </row>
    <row r="625" spans="41:47" x14ac:dyDescent="0.2">
      <c r="AO625" s="85"/>
      <c r="AQ625" s="85"/>
      <c r="AS625" s="85"/>
      <c r="AU625" s="78"/>
    </row>
    <row r="626" spans="41:47" x14ac:dyDescent="0.2">
      <c r="AO626" s="85"/>
      <c r="AQ626" s="85"/>
      <c r="AS626" s="85"/>
      <c r="AU626" s="78"/>
    </row>
    <row r="627" spans="41:47" x14ac:dyDescent="0.2">
      <c r="AO627" s="85"/>
      <c r="AQ627" s="85"/>
      <c r="AS627" s="85"/>
      <c r="AU627" s="78"/>
    </row>
    <row r="628" spans="41:47" x14ac:dyDescent="0.2">
      <c r="AO628" s="85"/>
      <c r="AQ628" s="85"/>
      <c r="AS628" s="85"/>
      <c r="AU628" s="78"/>
    </row>
    <row r="629" spans="41:47" x14ac:dyDescent="0.2">
      <c r="AO629" s="85"/>
      <c r="AQ629" s="85"/>
      <c r="AS629" s="85"/>
      <c r="AU629" s="78"/>
    </row>
    <row r="630" spans="41:47" x14ac:dyDescent="0.2">
      <c r="AO630" s="85"/>
      <c r="AQ630" s="85"/>
      <c r="AS630" s="85"/>
      <c r="AU630" s="78"/>
    </row>
    <row r="631" spans="41:47" x14ac:dyDescent="0.2">
      <c r="AO631" s="85"/>
      <c r="AQ631" s="85"/>
      <c r="AS631" s="85"/>
      <c r="AU631" s="78"/>
    </row>
    <row r="632" spans="41:47" x14ac:dyDescent="0.2">
      <c r="AO632" s="85"/>
      <c r="AQ632" s="85"/>
      <c r="AS632" s="85"/>
      <c r="AU632" s="78"/>
    </row>
    <row r="633" spans="41:47" x14ac:dyDescent="0.2">
      <c r="AO633" s="85"/>
      <c r="AQ633" s="85"/>
      <c r="AS633" s="85"/>
      <c r="AU633" s="78"/>
    </row>
    <row r="634" spans="41:47" x14ac:dyDescent="0.2">
      <c r="AO634" s="85"/>
      <c r="AQ634" s="85"/>
      <c r="AS634" s="85"/>
      <c r="AU634" s="78"/>
    </row>
    <row r="635" spans="41:47" x14ac:dyDescent="0.2">
      <c r="AO635" s="85"/>
      <c r="AQ635" s="85"/>
      <c r="AS635" s="85"/>
      <c r="AU635" s="78"/>
    </row>
    <row r="636" spans="41:47" x14ac:dyDescent="0.2">
      <c r="AO636" s="85"/>
      <c r="AQ636" s="85"/>
      <c r="AS636" s="85"/>
      <c r="AU636" s="78"/>
    </row>
    <row r="637" spans="41:47" x14ac:dyDescent="0.2">
      <c r="AO637" s="85"/>
      <c r="AQ637" s="85"/>
      <c r="AS637" s="85"/>
      <c r="AU637" s="78"/>
    </row>
    <row r="638" spans="41:47" x14ac:dyDescent="0.2">
      <c r="AO638" s="85"/>
      <c r="AQ638" s="85"/>
      <c r="AS638" s="85"/>
      <c r="AU638" s="78"/>
    </row>
    <row r="639" spans="41:47" x14ac:dyDescent="0.2">
      <c r="AO639" s="85"/>
      <c r="AQ639" s="85"/>
      <c r="AS639" s="85"/>
      <c r="AU639" s="78"/>
    </row>
    <row r="640" spans="41:47" x14ac:dyDescent="0.2">
      <c r="AO640" s="85"/>
      <c r="AQ640" s="85"/>
      <c r="AS640" s="85"/>
      <c r="AU640" s="78"/>
    </row>
    <row r="641" spans="41:47" x14ac:dyDescent="0.2">
      <c r="AO641" s="85"/>
      <c r="AQ641" s="85"/>
      <c r="AS641" s="85"/>
      <c r="AU641" s="78"/>
    </row>
    <row r="642" spans="41:47" x14ac:dyDescent="0.2">
      <c r="AO642" s="85"/>
      <c r="AQ642" s="85"/>
      <c r="AS642" s="85"/>
      <c r="AU642" s="78"/>
    </row>
    <row r="643" spans="41:47" x14ac:dyDescent="0.2">
      <c r="AO643" s="85"/>
      <c r="AQ643" s="85"/>
      <c r="AS643" s="85"/>
      <c r="AU643" s="78"/>
    </row>
    <row r="644" spans="41:47" x14ac:dyDescent="0.2">
      <c r="AO644" s="85"/>
      <c r="AQ644" s="85"/>
      <c r="AS644" s="85"/>
      <c r="AU644" s="78"/>
    </row>
    <row r="645" spans="41:47" x14ac:dyDescent="0.2">
      <c r="AO645" s="85"/>
      <c r="AQ645" s="85"/>
      <c r="AS645" s="85"/>
      <c r="AU645" s="78"/>
    </row>
    <row r="646" spans="41:47" x14ac:dyDescent="0.2">
      <c r="AO646" s="85"/>
      <c r="AQ646" s="85"/>
      <c r="AS646" s="85"/>
      <c r="AU646" s="78"/>
    </row>
    <row r="647" spans="41:47" x14ac:dyDescent="0.2">
      <c r="AO647" s="85"/>
      <c r="AQ647" s="85"/>
      <c r="AS647" s="85"/>
      <c r="AU647" s="78"/>
    </row>
    <row r="648" spans="41:47" x14ac:dyDescent="0.2">
      <c r="AO648" s="85"/>
      <c r="AQ648" s="85"/>
      <c r="AS648" s="85"/>
      <c r="AU648" s="78"/>
    </row>
    <row r="649" spans="41:47" x14ac:dyDescent="0.2">
      <c r="AO649" s="85"/>
      <c r="AQ649" s="85"/>
      <c r="AS649" s="85"/>
      <c r="AU649" s="78"/>
    </row>
    <row r="650" spans="41:47" x14ac:dyDescent="0.2">
      <c r="AO650" s="85"/>
      <c r="AQ650" s="85"/>
      <c r="AS650" s="85"/>
      <c r="AU650" s="78"/>
    </row>
    <row r="651" spans="41:47" x14ac:dyDescent="0.2">
      <c r="AO651" s="85"/>
      <c r="AQ651" s="85"/>
      <c r="AS651" s="85"/>
      <c r="AU651" s="78"/>
    </row>
    <row r="652" spans="41:47" x14ac:dyDescent="0.2">
      <c r="AO652" s="85"/>
      <c r="AQ652" s="85"/>
      <c r="AS652" s="85"/>
      <c r="AU652" s="78"/>
    </row>
    <row r="653" spans="41:47" x14ac:dyDescent="0.2">
      <c r="AO653" s="85"/>
      <c r="AQ653" s="85"/>
      <c r="AS653" s="85"/>
      <c r="AU653" s="78"/>
    </row>
    <row r="654" spans="41:47" x14ac:dyDescent="0.2">
      <c r="AO654" s="85"/>
      <c r="AQ654" s="85"/>
      <c r="AS654" s="85"/>
      <c r="AU654" s="78"/>
    </row>
    <row r="655" spans="41:47" x14ac:dyDescent="0.2">
      <c r="AO655" s="85"/>
      <c r="AQ655" s="85"/>
      <c r="AS655" s="85"/>
      <c r="AU655" s="78"/>
    </row>
    <row r="656" spans="41:47" x14ac:dyDescent="0.2">
      <c r="AO656" s="85"/>
      <c r="AQ656" s="85"/>
      <c r="AS656" s="85"/>
      <c r="AU656" s="78"/>
    </row>
    <row r="657" spans="41:47" x14ac:dyDescent="0.2">
      <c r="AO657" s="85"/>
      <c r="AQ657" s="85"/>
      <c r="AS657" s="85"/>
      <c r="AU657" s="78"/>
    </row>
    <row r="658" spans="41:47" x14ac:dyDescent="0.2">
      <c r="AO658" s="85"/>
      <c r="AQ658" s="85"/>
      <c r="AS658" s="85"/>
      <c r="AU658" s="78"/>
    </row>
    <row r="659" spans="41:47" x14ac:dyDescent="0.2">
      <c r="AO659" s="85"/>
      <c r="AQ659" s="85"/>
      <c r="AS659" s="85"/>
      <c r="AU659" s="78"/>
    </row>
    <row r="660" spans="41:47" x14ac:dyDescent="0.2">
      <c r="AO660" s="85"/>
      <c r="AQ660" s="85"/>
      <c r="AS660" s="85"/>
      <c r="AU660" s="78"/>
    </row>
    <row r="661" spans="41:47" x14ac:dyDescent="0.2">
      <c r="AO661" s="85"/>
      <c r="AQ661" s="85"/>
      <c r="AS661" s="85"/>
      <c r="AU661" s="78"/>
    </row>
    <row r="662" spans="41:47" x14ac:dyDescent="0.2">
      <c r="AO662" s="85"/>
      <c r="AQ662" s="85"/>
      <c r="AS662" s="85"/>
      <c r="AU662" s="78"/>
    </row>
    <row r="663" spans="41:47" x14ac:dyDescent="0.2">
      <c r="AO663" s="85"/>
      <c r="AQ663" s="85"/>
      <c r="AS663" s="85"/>
      <c r="AU663" s="78"/>
    </row>
    <row r="664" spans="41:47" x14ac:dyDescent="0.2">
      <c r="AO664" s="85"/>
      <c r="AQ664" s="85"/>
      <c r="AS664" s="85"/>
      <c r="AU664" s="78"/>
    </row>
    <row r="665" spans="41:47" x14ac:dyDescent="0.2">
      <c r="AO665" s="85"/>
      <c r="AQ665" s="85"/>
      <c r="AS665" s="85"/>
      <c r="AU665" s="78"/>
    </row>
    <row r="666" spans="41:47" x14ac:dyDescent="0.2">
      <c r="AO666" s="85"/>
      <c r="AQ666" s="85"/>
      <c r="AS666" s="85"/>
      <c r="AU666" s="78"/>
    </row>
    <row r="667" spans="41:47" x14ac:dyDescent="0.2">
      <c r="AO667" s="85"/>
      <c r="AQ667" s="85"/>
      <c r="AS667" s="85"/>
      <c r="AU667" s="78"/>
    </row>
    <row r="668" spans="41:47" x14ac:dyDescent="0.2">
      <c r="AO668" s="85"/>
      <c r="AQ668" s="85"/>
      <c r="AS668" s="85"/>
      <c r="AU668" s="78"/>
    </row>
    <row r="669" spans="41:47" x14ac:dyDescent="0.2">
      <c r="AO669" s="85"/>
      <c r="AQ669" s="85"/>
      <c r="AS669" s="85"/>
      <c r="AU669" s="78"/>
    </row>
    <row r="670" spans="41:47" x14ac:dyDescent="0.2">
      <c r="AO670" s="85"/>
      <c r="AQ670" s="85"/>
      <c r="AS670" s="85"/>
      <c r="AU670" s="78"/>
    </row>
    <row r="671" spans="41:47" x14ac:dyDescent="0.2">
      <c r="AO671" s="85"/>
      <c r="AQ671" s="85"/>
      <c r="AS671" s="85"/>
      <c r="AU671" s="78"/>
    </row>
    <row r="672" spans="41:47" x14ac:dyDescent="0.2">
      <c r="AO672" s="85"/>
      <c r="AQ672" s="85"/>
      <c r="AS672" s="85"/>
      <c r="AU672" s="78"/>
    </row>
    <row r="673" spans="41:47" x14ac:dyDescent="0.2">
      <c r="AO673" s="85"/>
      <c r="AQ673" s="85"/>
      <c r="AS673" s="85"/>
      <c r="AU673" s="78"/>
    </row>
    <row r="674" spans="41:47" x14ac:dyDescent="0.2">
      <c r="AO674" s="85"/>
      <c r="AQ674" s="85"/>
      <c r="AS674" s="85"/>
      <c r="AU674" s="78"/>
    </row>
    <row r="675" spans="41:47" x14ac:dyDescent="0.2">
      <c r="AO675" s="85"/>
      <c r="AQ675" s="85"/>
      <c r="AS675" s="85"/>
      <c r="AU675" s="78"/>
    </row>
    <row r="676" spans="41:47" x14ac:dyDescent="0.2">
      <c r="AO676" s="85"/>
      <c r="AQ676" s="85"/>
      <c r="AS676" s="85"/>
      <c r="AU676" s="78"/>
    </row>
    <row r="677" spans="41:47" x14ac:dyDescent="0.2">
      <c r="AO677" s="85"/>
      <c r="AQ677" s="85"/>
      <c r="AS677" s="85"/>
      <c r="AU677" s="78"/>
    </row>
    <row r="678" spans="41:47" x14ac:dyDescent="0.2">
      <c r="AO678" s="85"/>
      <c r="AQ678" s="85"/>
      <c r="AS678" s="85"/>
      <c r="AU678" s="78"/>
    </row>
    <row r="679" spans="41:47" x14ac:dyDescent="0.2">
      <c r="AO679" s="85"/>
      <c r="AQ679" s="85"/>
      <c r="AS679" s="85"/>
      <c r="AU679" s="78"/>
    </row>
    <row r="680" spans="41:47" x14ac:dyDescent="0.2">
      <c r="AO680" s="85"/>
      <c r="AQ680" s="85"/>
      <c r="AS680" s="85"/>
      <c r="AU680" s="78"/>
    </row>
    <row r="681" spans="41:47" x14ac:dyDescent="0.2">
      <c r="AO681" s="85"/>
      <c r="AQ681" s="85"/>
      <c r="AS681" s="85"/>
      <c r="AU681" s="78"/>
    </row>
    <row r="682" spans="41:47" x14ac:dyDescent="0.2">
      <c r="AO682" s="85"/>
      <c r="AQ682" s="85"/>
      <c r="AS682" s="85"/>
      <c r="AU682" s="78"/>
    </row>
    <row r="683" spans="41:47" x14ac:dyDescent="0.2">
      <c r="AO683" s="85"/>
      <c r="AQ683" s="85"/>
      <c r="AS683" s="85"/>
      <c r="AU683" s="78"/>
    </row>
    <row r="684" spans="41:47" x14ac:dyDescent="0.2">
      <c r="AO684" s="85"/>
      <c r="AQ684" s="85"/>
      <c r="AS684" s="85"/>
      <c r="AU684" s="78"/>
    </row>
    <row r="685" spans="41:47" x14ac:dyDescent="0.2">
      <c r="AO685" s="85"/>
      <c r="AQ685" s="85"/>
      <c r="AS685" s="85"/>
      <c r="AU685" s="78"/>
    </row>
    <row r="686" spans="41:47" x14ac:dyDescent="0.2">
      <c r="AO686" s="85"/>
      <c r="AQ686" s="85"/>
      <c r="AS686" s="85"/>
      <c r="AU686" s="78"/>
    </row>
    <row r="687" spans="41:47" x14ac:dyDescent="0.2">
      <c r="AO687" s="85"/>
      <c r="AQ687" s="85"/>
      <c r="AS687" s="85"/>
      <c r="AU687" s="78"/>
    </row>
    <row r="688" spans="41:47" x14ac:dyDescent="0.2">
      <c r="AO688" s="85"/>
      <c r="AQ688" s="85"/>
      <c r="AS688" s="85"/>
      <c r="AU688" s="78"/>
    </row>
    <row r="689" spans="41:47" x14ac:dyDescent="0.2">
      <c r="AO689" s="85"/>
      <c r="AQ689" s="85"/>
      <c r="AS689" s="85"/>
      <c r="AU689" s="78"/>
    </row>
    <row r="690" spans="41:47" x14ac:dyDescent="0.2">
      <c r="AO690" s="85"/>
      <c r="AQ690" s="85"/>
      <c r="AS690" s="85"/>
      <c r="AU690" s="78"/>
    </row>
    <row r="691" spans="41:47" x14ac:dyDescent="0.2">
      <c r="AO691" s="85"/>
      <c r="AQ691" s="85"/>
      <c r="AS691" s="85"/>
      <c r="AU691" s="78"/>
    </row>
    <row r="692" spans="41:47" x14ac:dyDescent="0.2">
      <c r="AO692" s="85"/>
      <c r="AQ692" s="85"/>
      <c r="AS692" s="85"/>
      <c r="AU692" s="78"/>
    </row>
    <row r="693" spans="41:47" x14ac:dyDescent="0.2">
      <c r="AO693" s="85"/>
      <c r="AQ693" s="85"/>
      <c r="AS693" s="85"/>
      <c r="AU693" s="78"/>
    </row>
    <row r="694" spans="41:47" x14ac:dyDescent="0.2">
      <c r="AO694" s="85"/>
      <c r="AQ694" s="85"/>
      <c r="AS694" s="85"/>
      <c r="AU694" s="78"/>
    </row>
    <row r="695" spans="41:47" x14ac:dyDescent="0.2">
      <c r="AO695" s="85"/>
      <c r="AQ695" s="85"/>
      <c r="AS695" s="85"/>
      <c r="AU695" s="78"/>
    </row>
    <row r="696" spans="41:47" x14ac:dyDescent="0.2">
      <c r="AO696" s="85"/>
      <c r="AQ696" s="85"/>
      <c r="AS696" s="85"/>
      <c r="AU696" s="78"/>
    </row>
    <row r="697" spans="41:47" x14ac:dyDescent="0.2">
      <c r="AO697" s="85"/>
      <c r="AQ697" s="85"/>
      <c r="AS697" s="85"/>
      <c r="AU697" s="78"/>
    </row>
    <row r="698" spans="41:47" x14ac:dyDescent="0.2">
      <c r="AO698" s="85"/>
      <c r="AQ698" s="85"/>
      <c r="AS698" s="85"/>
      <c r="AU698" s="78"/>
    </row>
    <row r="699" spans="41:47" x14ac:dyDescent="0.2">
      <c r="AO699" s="85"/>
      <c r="AQ699" s="85"/>
      <c r="AS699" s="85"/>
      <c r="AU699" s="78"/>
    </row>
    <row r="700" spans="41:47" x14ac:dyDescent="0.2">
      <c r="AO700" s="85"/>
      <c r="AQ700" s="85"/>
      <c r="AS700" s="85"/>
      <c r="AU700" s="78"/>
    </row>
    <row r="701" spans="41:47" x14ac:dyDescent="0.2">
      <c r="AO701" s="85"/>
      <c r="AQ701" s="85"/>
      <c r="AS701" s="85"/>
      <c r="AU701" s="78"/>
    </row>
    <row r="702" spans="41:47" x14ac:dyDescent="0.2">
      <c r="AO702" s="85"/>
      <c r="AQ702" s="85"/>
      <c r="AS702" s="85"/>
      <c r="AU702" s="78"/>
    </row>
    <row r="703" spans="41:47" x14ac:dyDescent="0.2">
      <c r="AO703" s="85"/>
      <c r="AQ703" s="85"/>
      <c r="AS703" s="85"/>
      <c r="AU703" s="78"/>
    </row>
    <row r="704" spans="41:47" x14ac:dyDescent="0.2">
      <c r="AO704" s="85"/>
      <c r="AQ704" s="85"/>
      <c r="AS704" s="85"/>
      <c r="AU704" s="78"/>
    </row>
    <row r="705" spans="41:47" x14ac:dyDescent="0.2">
      <c r="AO705" s="85"/>
      <c r="AQ705" s="85"/>
      <c r="AS705" s="85"/>
      <c r="AU705" s="78"/>
    </row>
    <row r="706" spans="41:47" x14ac:dyDescent="0.2">
      <c r="AO706" s="85"/>
      <c r="AQ706" s="85"/>
      <c r="AS706" s="85"/>
      <c r="AU706" s="78"/>
    </row>
    <row r="707" spans="41:47" x14ac:dyDescent="0.2">
      <c r="AO707" s="85"/>
      <c r="AQ707" s="85"/>
      <c r="AS707" s="85"/>
      <c r="AU707" s="78"/>
    </row>
    <row r="708" spans="41:47" x14ac:dyDescent="0.2">
      <c r="AO708" s="85"/>
      <c r="AQ708" s="85"/>
      <c r="AS708" s="85"/>
      <c r="AU708" s="78"/>
    </row>
    <row r="709" spans="41:47" x14ac:dyDescent="0.2">
      <c r="AO709" s="85"/>
      <c r="AQ709" s="85"/>
      <c r="AS709" s="85"/>
      <c r="AU709" s="78"/>
    </row>
    <row r="710" spans="41:47" x14ac:dyDescent="0.2">
      <c r="AO710" s="85"/>
      <c r="AQ710" s="85"/>
      <c r="AS710" s="85"/>
      <c r="AU710" s="78"/>
    </row>
    <row r="711" spans="41:47" x14ac:dyDescent="0.2">
      <c r="AO711" s="85"/>
      <c r="AQ711" s="85"/>
      <c r="AS711" s="85"/>
      <c r="AU711" s="78"/>
    </row>
    <row r="712" spans="41:47" x14ac:dyDescent="0.2">
      <c r="AO712" s="85"/>
      <c r="AQ712" s="85"/>
      <c r="AS712" s="85"/>
      <c r="AU712" s="78"/>
    </row>
    <row r="713" spans="41:47" x14ac:dyDescent="0.2">
      <c r="AO713" s="85"/>
      <c r="AQ713" s="85"/>
      <c r="AS713" s="85"/>
      <c r="AU713" s="78"/>
    </row>
    <row r="714" spans="41:47" x14ac:dyDescent="0.2">
      <c r="AO714" s="85"/>
      <c r="AQ714" s="85"/>
      <c r="AS714" s="85"/>
      <c r="AU714" s="78"/>
    </row>
    <row r="715" spans="41:47" x14ac:dyDescent="0.2">
      <c r="AO715" s="85"/>
      <c r="AQ715" s="85"/>
      <c r="AS715" s="85"/>
      <c r="AU715" s="78"/>
    </row>
    <row r="716" spans="41:47" x14ac:dyDescent="0.2">
      <c r="AO716" s="85"/>
      <c r="AQ716" s="85"/>
      <c r="AS716" s="85"/>
      <c r="AU716" s="78"/>
    </row>
    <row r="717" spans="41:47" x14ac:dyDescent="0.2">
      <c r="AO717" s="85"/>
      <c r="AQ717" s="85"/>
      <c r="AS717" s="85"/>
      <c r="AU717" s="78"/>
    </row>
    <row r="718" spans="41:47" x14ac:dyDescent="0.2">
      <c r="AO718" s="85"/>
      <c r="AQ718" s="85"/>
      <c r="AS718" s="85"/>
      <c r="AU718" s="78"/>
    </row>
    <row r="719" spans="41:47" x14ac:dyDescent="0.2">
      <c r="AO719" s="85"/>
      <c r="AQ719" s="85"/>
      <c r="AS719" s="85"/>
      <c r="AU719" s="78"/>
    </row>
    <row r="720" spans="41:47" x14ac:dyDescent="0.2">
      <c r="AO720" s="85"/>
      <c r="AQ720" s="85"/>
      <c r="AS720" s="85"/>
      <c r="AU720" s="78"/>
    </row>
    <row r="721" spans="41:47" x14ac:dyDescent="0.2">
      <c r="AO721" s="85"/>
      <c r="AQ721" s="85"/>
      <c r="AS721" s="85"/>
      <c r="AU721" s="78"/>
    </row>
    <row r="722" spans="41:47" x14ac:dyDescent="0.2">
      <c r="AO722" s="85"/>
      <c r="AQ722" s="85"/>
      <c r="AS722" s="85"/>
      <c r="AU722" s="78"/>
    </row>
    <row r="723" spans="41:47" x14ac:dyDescent="0.2">
      <c r="AO723" s="85"/>
      <c r="AQ723" s="85"/>
      <c r="AS723" s="85"/>
      <c r="AU723" s="78"/>
    </row>
    <row r="724" spans="41:47" x14ac:dyDescent="0.2">
      <c r="AO724" s="85"/>
      <c r="AQ724" s="85"/>
      <c r="AS724" s="85"/>
      <c r="AU724" s="78"/>
    </row>
    <row r="725" spans="41:47" x14ac:dyDescent="0.2">
      <c r="AO725" s="85"/>
      <c r="AQ725" s="85"/>
      <c r="AS725" s="85"/>
      <c r="AU725" s="78"/>
    </row>
    <row r="726" spans="41:47" x14ac:dyDescent="0.2">
      <c r="AO726" s="85"/>
      <c r="AQ726" s="85"/>
      <c r="AS726" s="85"/>
      <c r="AU726" s="78"/>
    </row>
    <row r="727" spans="41:47" x14ac:dyDescent="0.2">
      <c r="AO727" s="85"/>
      <c r="AQ727" s="85"/>
      <c r="AS727" s="85"/>
      <c r="AU727" s="78"/>
    </row>
    <row r="728" spans="41:47" x14ac:dyDescent="0.2">
      <c r="AO728" s="85"/>
      <c r="AQ728" s="85"/>
      <c r="AS728" s="85"/>
      <c r="AU728" s="78"/>
    </row>
    <row r="729" spans="41:47" x14ac:dyDescent="0.2">
      <c r="AO729" s="85"/>
      <c r="AQ729" s="85"/>
      <c r="AS729" s="85"/>
      <c r="AU729" s="78"/>
    </row>
    <row r="730" spans="41:47" x14ac:dyDescent="0.2">
      <c r="AO730" s="85"/>
      <c r="AQ730" s="85"/>
      <c r="AS730" s="85"/>
      <c r="AU730" s="78"/>
    </row>
    <row r="731" spans="41:47" x14ac:dyDescent="0.2">
      <c r="AO731" s="85"/>
      <c r="AQ731" s="85"/>
      <c r="AS731" s="85"/>
      <c r="AU731" s="78"/>
    </row>
    <row r="732" spans="41:47" x14ac:dyDescent="0.2">
      <c r="AO732" s="85"/>
      <c r="AQ732" s="85"/>
      <c r="AS732" s="85"/>
      <c r="AU732" s="78"/>
    </row>
    <row r="733" spans="41:47" x14ac:dyDescent="0.2">
      <c r="AO733" s="85"/>
      <c r="AQ733" s="85"/>
      <c r="AS733" s="85"/>
      <c r="AU733" s="78"/>
    </row>
    <row r="734" spans="41:47" x14ac:dyDescent="0.2">
      <c r="AO734" s="85"/>
      <c r="AQ734" s="85"/>
      <c r="AS734" s="85"/>
      <c r="AU734" s="78"/>
    </row>
    <row r="735" spans="41:47" x14ac:dyDescent="0.2">
      <c r="AO735" s="85"/>
      <c r="AQ735" s="85"/>
      <c r="AS735" s="85"/>
      <c r="AU735" s="78"/>
    </row>
    <row r="736" spans="41:47" x14ac:dyDescent="0.2">
      <c r="AO736" s="85"/>
      <c r="AQ736" s="85"/>
      <c r="AS736" s="85"/>
      <c r="AU736" s="78"/>
    </row>
    <row r="737" spans="41:47" x14ac:dyDescent="0.2">
      <c r="AO737" s="85"/>
      <c r="AQ737" s="85"/>
      <c r="AS737" s="85"/>
      <c r="AU737" s="78"/>
    </row>
    <row r="738" spans="41:47" x14ac:dyDescent="0.2">
      <c r="AO738" s="85"/>
      <c r="AQ738" s="85"/>
      <c r="AS738" s="85"/>
      <c r="AU738" s="78"/>
    </row>
    <row r="739" spans="41:47" x14ac:dyDescent="0.2">
      <c r="AO739" s="85"/>
      <c r="AQ739" s="85"/>
      <c r="AS739" s="85"/>
      <c r="AU739" s="78"/>
    </row>
    <row r="740" spans="41:47" x14ac:dyDescent="0.2">
      <c r="AO740" s="85"/>
      <c r="AQ740" s="85"/>
      <c r="AS740" s="85"/>
      <c r="AU740" s="78"/>
    </row>
    <row r="741" spans="41:47" x14ac:dyDescent="0.2">
      <c r="AO741" s="85"/>
      <c r="AQ741" s="85"/>
      <c r="AS741" s="85"/>
      <c r="AU741" s="78"/>
    </row>
    <row r="742" spans="41:47" x14ac:dyDescent="0.2">
      <c r="AO742" s="85"/>
      <c r="AQ742" s="85"/>
      <c r="AS742" s="85"/>
      <c r="AU742" s="78"/>
    </row>
    <row r="743" spans="41:47" x14ac:dyDescent="0.2">
      <c r="AO743" s="85"/>
      <c r="AQ743" s="85"/>
      <c r="AS743" s="85"/>
      <c r="AU743" s="78"/>
    </row>
    <row r="744" spans="41:47" x14ac:dyDescent="0.2">
      <c r="AO744" s="85"/>
      <c r="AQ744" s="85"/>
      <c r="AS744" s="85"/>
      <c r="AU744" s="78"/>
    </row>
    <row r="745" spans="41:47" x14ac:dyDescent="0.2">
      <c r="AO745" s="85"/>
      <c r="AQ745" s="85"/>
      <c r="AS745" s="85"/>
      <c r="AU745" s="78"/>
    </row>
    <row r="746" spans="41:47" x14ac:dyDescent="0.2">
      <c r="AO746" s="85"/>
      <c r="AQ746" s="85"/>
      <c r="AS746" s="85"/>
      <c r="AU746" s="78"/>
    </row>
    <row r="747" spans="41:47" x14ac:dyDescent="0.2">
      <c r="AO747" s="85"/>
      <c r="AQ747" s="85"/>
      <c r="AS747" s="85"/>
      <c r="AU747" s="78"/>
    </row>
    <row r="748" spans="41:47" x14ac:dyDescent="0.2">
      <c r="AO748" s="85"/>
      <c r="AQ748" s="85"/>
      <c r="AS748" s="85"/>
      <c r="AU748" s="78"/>
    </row>
    <row r="749" spans="41:47" x14ac:dyDescent="0.2">
      <c r="AO749" s="85"/>
      <c r="AQ749" s="85"/>
      <c r="AS749" s="85"/>
      <c r="AU749" s="78"/>
    </row>
    <row r="750" spans="41:47" x14ac:dyDescent="0.2">
      <c r="AO750" s="85"/>
      <c r="AQ750" s="85"/>
      <c r="AS750" s="85"/>
      <c r="AU750" s="78"/>
    </row>
    <row r="751" spans="41:47" x14ac:dyDescent="0.2">
      <c r="AO751" s="85"/>
      <c r="AQ751" s="85"/>
      <c r="AS751" s="85"/>
      <c r="AU751" s="78"/>
    </row>
    <row r="752" spans="41:47" x14ac:dyDescent="0.2">
      <c r="AO752" s="85"/>
      <c r="AQ752" s="85"/>
      <c r="AS752" s="85"/>
      <c r="AU752" s="78"/>
    </row>
    <row r="753" spans="41:47" x14ac:dyDescent="0.2">
      <c r="AO753" s="85"/>
      <c r="AQ753" s="85"/>
      <c r="AS753" s="85"/>
      <c r="AU753" s="78"/>
    </row>
    <row r="754" spans="41:47" x14ac:dyDescent="0.2">
      <c r="AO754" s="85"/>
      <c r="AQ754" s="85"/>
      <c r="AS754" s="85"/>
      <c r="AU754" s="78"/>
    </row>
    <row r="755" spans="41:47" x14ac:dyDescent="0.2">
      <c r="AO755" s="85"/>
      <c r="AQ755" s="85"/>
      <c r="AS755" s="85"/>
      <c r="AU755" s="78"/>
    </row>
    <row r="756" spans="41:47" x14ac:dyDescent="0.2">
      <c r="AO756" s="85"/>
      <c r="AQ756" s="85"/>
      <c r="AS756" s="85"/>
      <c r="AU756" s="78"/>
    </row>
    <row r="757" spans="41:47" x14ac:dyDescent="0.2">
      <c r="AO757" s="85"/>
      <c r="AQ757" s="85"/>
      <c r="AS757" s="85"/>
      <c r="AU757" s="78"/>
    </row>
    <row r="758" spans="41:47" x14ac:dyDescent="0.2">
      <c r="AO758" s="85"/>
      <c r="AQ758" s="85"/>
      <c r="AS758" s="85"/>
      <c r="AU758" s="78"/>
    </row>
    <row r="759" spans="41:47" x14ac:dyDescent="0.2">
      <c r="AO759" s="85"/>
      <c r="AQ759" s="85"/>
      <c r="AS759" s="85"/>
      <c r="AU759" s="78"/>
    </row>
    <row r="760" spans="41:47" x14ac:dyDescent="0.2">
      <c r="AO760" s="85"/>
      <c r="AQ760" s="85"/>
      <c r="AS760" s="85"/>
      <c r="AU760" s="78"/>
    </row>
    <row r="761" spans="41:47" x14ac:dyDescent="0.2">
      <c r="AO761" s="85"/>
      <c r="AQ761" s="85"/>
      <c r="AS761" s="85"/>
      <c r="AU761" s="78"/>
    </row>
    <row r="762" spans="41:47" x14ac:dyDescent="0.2">
      <c r="AO762" s="85"/>
      <c r="AQ762" s="85"/>
      <c r="AS762" s="85"/>
      <c r="AU762" s="78"/>
    </row>
    <row r="763" spans="41:47" x14ac:dyDescent="0.2">
      <c r="AO763" s="85"/>
      <c r="AQ763" s="85"/>
      <c r="AS763" s="85"/>
      <c r="AU763" s="78"/>
    </row>
    <row r="764" spans="41:47" x14ac:dyDescent="0.2">
      <c r="AO764" s="85"/>
      <c r="AQ764" s="85"/>
      <c r="AS764" s="85"/>
      <c r="AU764" s="78"/>
    </row>
    <row r="765" spans="41:47" x14ac:dyDescent="0.2">
      <c r="AO765" s="85"/>
      <c r="AQ765" s="85"/>
      <c r="AS765" s="85"/>
      <c r="AU765" s="78"/>
    </row>
    <row r="766" spans="41:47" x14ac:dyDescent="0.2">
      <c r="AO766" s="85"/>
      <c r="AQ766" s="85"/>
      <c r="AS766" s="85"/>
      <c r="AU766" s="78"/>
    </row>
    <row r="767" spans="41:47" x14ac:dyDescent="0.2">
      <c r="AO767" s="85"/>
      <c r="AQ767" s="85"/>
      <c r="AS767" s="85"/>
      <c r="AU767" s="78"/>
    </row>
    <row r="768" spans="41:47" x14ac:dyDescent="0.2">
      <c r="AO768" s="85"/>
      <c r="AQ768" s="85"/>
      <c r="AS768" s="85"/>
      <c r="AU768" s="78"/>
    </row>
    <row r="769" spans="41:47" x14ac:dyDescent="0.2">
      <c r="AO769" s="85"/>
      <c r="AQ769" s="85"/>
      <c r="AS769" s="85"/>
      <c r="AU769" s="78"/>
    </row>
    <row r="770" spans="41:47" x14ac:dyDescent="0.2">
      <c r="AO770" s="85"/>
      <c r="AQ770" s="85"/>
      <c r="AS770" s="85"/>
      <c r="AU770" s="78"/>
    </row>
    <row r="771" spans="41:47" x14ac:dyDescent="0.2">
      <c r="AO771" s="85"/>
      <c r="AQ771" s="85"/>
      <c r="AS771" s="85"/>
      <c r="AU771" s="78"/>
    </row>
    <row r="772" spans="41:47" x14ac:dyDescent="0.2">
      <c r="AO772" s="85"/>
      <c r="AQ772" s="85"/>
      <c r="AS772" s="85"/>
      <c r="AU772" s="78"/>
    </row>
    <row r="773" spans="41:47" x14ac:dyDescent="0.2">
      <c r="AO773" s="85"/>
      <c r="AQ773" s="85"/>
      <c r="AS773" s="85"/>
      <c r="AU773" s="78"/>
    </row>
    <row r="774" spans="41:47" x14ac:dyDescent="0.2">
      <c r="AO774" s="85"/>
      <c r="AQ774" s="85"/>
      <c r="AS774" s="85"/>
      <c r="AU774" s="78"/>
    </row>
    <row r="775" spans="41:47" x14ac:dyDescent="0.2">
      <c r="AO775" s="85"/>
      <c r="AQ775" s="85"/>
      <c r="AS775" s="85"/>
      <c r="AU775" s="78"/>
    </row>
    <row r="776" spans="41:47" x14ac:dyDescent="0.2">
      <c r="AO776" s="85"/>
      <c r="AQ776" s="85"/>
      <c r="AS776" s="85"/>
      <c r="AU776" s="78"/>
    </row>
    <row r="777" spans="41:47" x14ac:dyDescent="0.2">
      <c r="AO777" s="85"/>
      <c r="AQ777" s="85"/>
      <c r="AS777" s="85"/>
      <c r="AU777" s="78"/>
    </row>
    <row r="778" spans="41:47" x14ac:dyDescent="0.2">
      <c r="AO778" s="85"/>
      <c r="AQ778" s="85"/>
      <c r="AS778" s="85"/>
      <c r="AU778" s="78"/>
    </row>
    <row r="779" spans="41:47" x14ac:dyDescent="0.2">
      <c r="AO779" s="85"/>
      <c r="AQ779" s="85"/>
      <c r="AS779" s="85"/>
      <c r="AU779" s="78"/>
    </row>
    <row r="780" spans="41:47" x14ac:dyDescent="0.2">
      <c r="AO780" s="85"/>
      <c r="AQ780" s="85"/>
      <c r="AS780" s="85"/>
      <c r="AU780" s="78"/>
    </row>
    <row r="781" spans="41:47" x14ac:dyDescent="0.2">
      <c r="AO781" s="85"/>
      <c r="AQ781" s="85"/>
      <c r="AS781" s="85"/>
      <c r="AU781" s="78"/>
    </row>
    <row r="782" spans="41:47" x14ac:dyDescent="0.2">
      <c r="AO782" s="85"/>
      <c r="AQ782" s="85"/>
      <c r="AS782" s="85"/>
      <c r="AU782" s="78"/>
    </row>
    <row r="783" spans="41:47" x14ac:dyDescent="0.2">
      <c r="AO783" s="85"/>
      <c r="AQ783" s="85"/>
      <c r="AS783" s="85"/>
      <c r="AU783" s="78"/>
    </row>
    <row r="784" spans="41:47" x14ac:dyDescent="0.2">
      <c r="AO784" s="85"/>
      <c r="AQ784" s="85"/>
      <c r="AS784" s="85"/>
      <c r="AU784" s="78"/>
    </row>
    <row r="785" spans="41:47" x14ac:dyDescent="0.2">
      <c r="AO785" s="85"/>
      <c r="AQ785" s="85"/>
      <c r="AS785" s="85"/>
      <c r="AU785" s="78"/>
    </row>
    <row r="786" spans="41:47" x14ac:dyDescent="0.2">
      <c r="AO786" s="85"/>
      <c r="AQ786" s="85"/>
      <c r="AS786" s="85"/>
      <c r="AU786" s="78"/>
    </row>
    <row r="787" spans="41:47" x14ac:dyDescent="0.2">
      <c r="AO787" s="85"/>
      <c r="AQ787" s="85"/>
      <c r="AS787" s="85"/>
      <c r="AU787" s="78"/>
    </row>
    <row r="788" spans="41:47" x14ac:dyDescent="0.2">
      <c r="AO788" s="85"/>
      <c r="AQ788" s="85"/>
      <c r="AS788" s="85"/>
      <c r="AU788" s="78"/>
    </row>
    <row r="789" spans="41:47" x14ac:dyDescent="0.2">
      <c r="AO789" s="85"/>
      <c r="AQ789" s="85"/>
      <c r="AS789" s="85"/>
      <c r="AU789" s="78"/>
    </row>
    <row r="790" spans="41:47" x14ac:dyDescent="0.2">
      <c r="AO790" s="85"/>
      <c r="AQ790" s="85"/>
      <c r="AS790" s="85"/>
      <c r="AU790" s="78"/>
    </row>
    <row r="791" spans="41:47" x14ac:dyDescent="0.2">
      <c r="AO791" s="85"/>
      <c r="AQ791" s="85"/>
      <c r="AS791" s="85"/>
      <c r="AU791" s="78"/>
    </row>
    <row r="792" spans="41:47" x14ac:dyDescent="0.2">
      <c r="AO792" s="85"/>
      <c r="AQ792" s="85"/>
      <c r="AS792" s="85"/>
      <c r="AU792" s="78"/>
    </row>
    <row r="793" spans="41:47" x14ac:dyDescent="0.2">
      <c r="AO793" s="85"/>
      <c r="AQ793" s="85"/>
      <c r="AS793" s="85"/>
      <c r="AU793" s="78"/>
    </row>
    <row r="794" spans="41:47" x14ac:dyDescent="0.2">
      <c r="AO794" s="85"/>
      <c r="AQ794" s="85"/>
      <c r="AS794" s="85"/>
      <c r="AU794" s="78"/>
    </row>
    <row r="795" spans="41:47" x14ac:dyDescent="0.2">
      <c r="AO795" s="85"/>
      <c r="AQ795" s="85"/>
      <c r="AS795" s="85"/>
      <c r="AU795" s="78"/>
    </row>
    <row r="796" spans="41:47" x14ac:dyDescent="0.2">
      <c r="AO796" s="85"/>
      <c r="AQ796" s="85"/>
      <c r="AS796" s="85"/>
      <c r="AU796" s="78"/>
    </row>
    <row r="797" spans="41:47" x14ac:dyDescent="0.2">
      <c r="AO797" s="85"/>
      <c r="AQ797" s="85"/>
      <c r="AS797" s="85"/>
      <c r="AU797" s="78"/>
    </row>
    <row r="798" spans="41:47" x14ac:dyDescent="0.2">
      <c r="AO798" s="85"/>
      <c r="AQ798" s="85"/>
      <c r="AS798" s="85"/>
      <c r="AU798" s="78"/>
    </row>
    <row r="799" spans="41:47" x14ac:dyDescent="0.2">
      <c r="AO799" s="85"/>
      <c r="AQ799" s="85"/>
      <c r="AS799" s="85"/>
      <c r="AU799" s="78"/>
    </row>
    <row r="800" spans="41:47" x14ac:dyDescent="0.2">
      <c r="AO800" s="85"/>
      <c r="AQ800" s="85"/>
      <c r="AS800" s="85"/>
      <c r="AU800" s="78"/>
    </row>
    <row r="801" spans="41:47" x14ac:dyDescent="0.2">
      <c r="AO801" s="85"/>
      <c r="AQ801" s="85"/>
      <c r="AS801" s="85"/>
      <c r="AU801" s="78"/>
    </row>
    <row r="802" spans="41:47" x14ac:dyDescent="0.2">
      <c r="AO802" s="85"/>
      <c r="AQ802" s="85"/>
      <c r="AS802" s="85"/>
      <c r="AU802" s="78"/>
    </row>
    <row r="803" spans="41:47" x14ac:dyDescent="0.2">
      <c r="AO803" s="85"/>
      <c r="AQ803" s="85"/>
      <c r="AS803" s="85"/>
      <c r="AU803" s="78"/>
    </row>
    <row r="804" spans="41:47" x14ac:dyDescent="0.2">
      <c r="AO804" s="85"/>
      <c r="AQ804" s="85"/>
      <c r="AS804" s="85"/>
      <c r="AU804" s="78"/>
    </row>
    <row r="805" spans="41:47" x14ac:dyDescent="0.2">
      <c r="AO805" s="85"/>
      <c r="AQ805" s="85"/>
      <c r="AS805" s="85"/>
      <c r="AU805" s="78"/>
    </row>
    <row r="806" spans="41:47" x14ac:dyDescent="0.2">
      <c r="AO806" s="85"/>
      <c r="AQ806" s="85"/>
      <c r="AS806" s="85"/>
      <c r="AU806" s="78"/>
    </row>
    <row r="807" spans="41:47" x14ac:dyDescent="0.2">
      <c r="AO807" s="85"/>
      <c r="AQ807" s="85"/>
      <c r="AS807" s="85"/>
      <c r="AU807" s="78"/>
    </row>
    <row r="808" spans="41:47" x14ac:dyDescent="0.2">
      <c r="AO808" s="85"/>
      <c r="AQ808" s="85"/>
      <c r="AS808" s="85"/>
      <c r="AU808" s="78"/>
    </row>
    <row r="809" spans="41:47" x14ac:dyDescent="0.2">
      <c r="AO809" s="85"/>
      <c r="AQ809" s="85"/>
      <c r="AS809" s="85"/>
      <c r="AU809" s="78"/>
    </row>
    <row r="810" spans="41:47" x14ac:dyDescent="0.2">
      <c r="AO810" s="85"/>
      <c r="AQ810" s="85"/>
      <c r="AS810" s="85"/>
      <c r="AU810" s="78"/>
    </row>
    <row r="811" spans="41:47" x14ac:dyDescent="0.2">
      <c r="AO811" s="85"/>
      <c r="AQ811" s="85"/>
      <c r="AS811" s="85"/>
      <c r="AU811" s="78"/>
    </row>
    <row r="812" spans="41:47" x14ac:dyDescent="0.2">
      <c r="AO812" s="85"/>
      <c r="AQ812" s="85"/>
      <c r="AS812" s="85"/>
      <c r="AU812" s="78"/>
    </row>
    <row r="813" spans="41:47" x14ac:dyDescent="0.2">
      <c r="AO813" s="85"/>
      <c r="AQ813" s="85"/>
      <c r="AS813" s="85"/>
      <c r="AU813" s="78"/>
    </row>
    <row r="814" spans="41:47" x14ac:dyDescent="0.2">
      <c r="AO814" s="85"/>
      <c r="AQ814" s="85"/>
      <c r="AS814" s="85"/>
      <c r="AU814" s="78"/>
    </row>
    <row r="815" spans="41:47" x14ac:dyDescent="0.2">
      <c r="AO815" s="85"/>
      <c r="AQ815" s="85"/>
      <c r="AS815" s="85"/>
      <c r="AU815" s="78"/>
    </row>
    <row r="816" spans="41:47" x14ac:dyDescent="0.2">
      <c r="AO816" s="85"/>
      <c r="AQ816" s="85"/>
      <c r="AS816" s="85"/>
      <c r="AU816" s="78"/>
    </row>
    <row r="817" spans="41:47" x14ac:dyDescent="0.2">
      <c r="AO817" s="85"/>
      <c r="AQ817" s="85"/>
      <c r="AS817" s="85"/>
      <c r="AU817" s="78"/>
    </row>
    <row r="818" spans="41:47" x14ac:dyDescent="0.2">
      <c r="AO818" s="85"/>
      <c r="AQ818" s="85"/>
      <c r="AS818" s="85"/>
      <c r="AU818" s="78"/>
    </row>
    <row r="819" spans="41:47" x14ac:dyDescent="0.2">
      <c r="AO819" s="85"/>
      <c r="AQ819" s="85"/>
      <c r="AS819" s="85"/>
      <c r="AU819" s="78"/>
    </row>
    <row r="820" spans="41:47" x14ac:dyDescent="0.2">
      <c r="AO820" s="85"/>
      <c r="AQ820" s="85"/>
      <c r="AS820" s="85"/>
      <c r="AU820" s="78"/>
    </row>
    <row r="821" spans="41:47" x14ac:dyDescent="0.2">
      <c r="AO821" s="85"/>
      <c r="AQ821" s="85"/>
      <c r="AS821" s="85"/>
      <c r="AU821" s="78"/>
    </row>
    <row r="822" spans="41:47" x14ac:dyDescent="0.2">
      <c r="AO822" s="85"/>
      <c r="AQ822" s="85"/>
      <c r="AS822" s="85"/>
      <c r="AU822" s="78"/>
    </row>
    <row r="823" spans="41:47" x14ac:dyDescent="0.2">
      <c r="AO823" s="85"/>
      <c r="AQ823" s="85"/>
      <c r="AS823" s="85"/>
      <c r="AU823" s="78"/>
    </row>
    <row r="824" spans="41:47" x14ac:dyDescent="0.2">
      <c r="AO824" s="85"/>
      <c r="AQ824" s="85"/>
      <c r="AS824" s="85"/>
      <c r="AU824" s="78"/>
    </row>
    <row r="825" spans="41:47" x14ac:dyDescent="0.2">
      <c r="AO825" s="85"/>
      <c r="AQ825" s="85"/>
      <c r="AS825" s="85"/>
      <c r="AU825" s="78"/>
    </row>
    <row r="826" spans="41:47" x14ac:dyDescent="0.2">
      <c r="AO826" s="85"/>
      <c r="AQ826" s="85"/>
      <c r="AS826" s="85"/>
      <c r="AU826" s="78"/>
    </row>
    <row r="827" spans="41:47" x14ac:dyDescent="0.2">
      <c r="AO827" s="85"/>
      <c r="AQ827" s="85"/>
      <c r="AS827" s="85"/>
      <c r="AU827" s="78"/>
    </row>
    <row r="828" spans="41:47" x14ac:dyDescent="0.2">
      <c r="AO828" s="85"/>
      <c r="AQ828" s="85"/>
      <c r="AS828" s="85"/>
      <c r="AU828" s="78"/>
    </row>
    <row r="829" spans="41:47" x14ac:dyDescent="0.2">
      <c r="AO829" s="85"/>
      <c r="AQ829" s="85"/>
      <c r="AS829" s="85"/>
      <c r="AU829" s="78"/>
    </row>
    <row r="830" spans="41:47" x14ac:dyDescent="0.2">
      <c r="AO830" s="85"/>
      <c r="AQ830" s="85"/>
      <c r="AS830" s="85"/>
      <c r="AU830" s="78"/>
    </row>
    <row r="831" spans="41:47" x14ac:dyDescent="0.2">
      <c r="AO831" s="85"/>
      <c r="AQ831" s="85"/>
      <c r="AS831" s="85"/>
      <c r="AU831" s="78"/>
    </row>
    <row r="832" spans="41:47" x14ac:dyDescent="0.2">
      <c r="AO832" s="85"/>
      <c r="AQ832" s="85"/>
      <c r="AS832" s="85"/>
      <c r="AU832" s="78"/>
    </row>
    <row r="833" spans="41:47" x14ac:dyDescent="0.2">
      <c r="AO833" s="85"/>
      <c r="AQ833" s="85"/>
      <c r="AS833" s="85"/>
      <c r="AU833" s="78"/>
    </row>
    <row r="834" spans="41:47" x14ac:dyDescent="0.2">
      <c r="AO834" s="85"/>
      <c r="AQ834" s="85"/>
      <c r="AS834" s="85"/>
      <c r="AU834" s="78"/>
    </row>
    <row r="835" spans="41:47" x14ac:dyDescent="0.2">
      <c r="AO835" s="85"/>
      <c r="AQ835" s="85"/>
      <c r="AS835" s="85"/>
      <c r="AU835" s="78"/>
    </row>
    <row r="836" spans="41:47" x14ac:dyDescent="0.2">
      <c r="AO836" s="85"/>
      <c r="AQ836" s="85"/>
      <c r="AS836" s="85"/>
      <c r="AU836" s="78"/>
    </row>
    <row r="837" spans="41:47" x14ac:dyDescent="0.2">
      <c r="AO837" s="85"/>
      <c r="AQ837" s="85"/>
      <c r="AS837" s="85"/>
      <c r="AU837" s="78"/>
    </row>
    <row r="838" spans="41:47" x14ac:dyDescent="0.2">
      <c r="AO838" s="85"/>
      <c r="AQ838" s="85"/>
      <c r="AS838" s="85"/>
      <c r="AU838" s="78"/>
    </row>
    <row r="839" spans="41:47" x14ac:dyDescent="0.2">
      <c r="AO839" s="85"/>
      <c r="AQ839" s="85"/>
      <c r="AS839" s="85"/>
      <c r="AU839" s="78"/>
    </row>
    <row r="840" spans="41:47" x14ac:dyDescent="0.2">
      <c r="AO840" s="85"/>
      <c r="AQ840" s="85"/>
      <c r="AS840" s="85"/>
      <c r="AU840" s="78"/>
    </row>
    <row r="841" spans="41:47" x14ac:dyDescent="0.2">
      <c r="AO841" s="85"/>
      <c r="AQ841" s="85"/>
      <c r="AS841" s="85"/>
      <c r="AU841" s="78"/>
    </row>
    <row r="842" spans="41:47" x14ac:dyDescent="0.2">
      <c r="AO842" s="85"/>
      <c r="AQ842" s="85"/>
      <c r="AS842" s="85"/>
      <c r="AU842" s="78"/>
    </row>
    <row r="843" spans="41:47" x14ac:dyDescent="0.2">
      <c r="AO843" s="85"/>
      <c r="AQ843" s="85"/>
      <c r="AS843" s="85"/>
      <c r="AU843" s="78"/>
    </row>
    <row r="844" spans="41:47" x14ac:dyDescent="0.2">
      <c r="AO844" s="85"/>
      <c r="AQ844" s="85"/>
      <c r="AS844" s="85"/>
      <c r="AU844" s="78"/>
    </row>
    <row r="845" spans="41:47" x14ac:dyDescent="0.2">
      <c r="AO845" s="85"/>
      <c r="AQ845" s="85"/>
      <c r="AS845" s="85"/>
      <c r="AU845" s="78"/>
    </row>
    <row r="846" spans="41:47" x14ac:dyDescent="0.2">
      <c r="AO846" s="85"/>
      <c r="AQ846" s="85"/>
      <c r="AS846" s="85"/>
      <c r="AU846" s="78"/>
    </row>
    <row r="847" spans="41:47" x14ac:dyDescent="0.2">
      <c r="AO847" s="85"/>
      <c r="AQ847" s="85"/>
      <c r="AS847" s="85"/>
      <c r="AU847" s="78"/>
    </row>
    <row r="848" spans="41:47" x14ac:dyDescent="0.2">
      <c r="AO848" s="85"/>
      <c r="AQ848" s="85"/>
      <c r="AS848" s="85"/>
      <c r="AU848" s="78"/>
    </row>
    <row r="849" spans="41:47" x14ac:dyDescent="0.2">
      <c r="AO849" s="85"/>
      <c r="AQ849" s="85"/>
      <c r="AS849" s="85"/>
      <c r="AU849" s="78"/>
    </row>
    <row r="850" spans="41:47" x14ac:dyDescent="0.2">
      <c r="AO850" s="85"/>
      <c r="AQ850" s="85"/>
      <c r="AS850" s="85"/>
      <c r="AU850" s="78"/>
    </row>
    <row r="851" spans="41:47" x14ac:dyDescent="0.2">
      <c r="AO851" s="85"/>
      <c r="AQ851" s="85"/>
      <c r="AS851" s="85"/>
      <c r="AU851" s="78"/>
    </row>
    <row r="852" spans="41:47" x14ac:dyDescent="0.2">
      <c r="AO852" s="85"/>
      <c r="AQ852" s="85"/>
      <c r="AS852" s="85"/>
      <c r="AU852" s="78"/>
    </row>
    <row r="853" spans="41:47" x14ac:dyDescent="0.2">
      <c r="AO853" s="85"/>
      <c r="AQ853" s="85"/>
      <c r="AS853" s="85"/>
      <c r="AU853" s="78"/>
    </row>
    <row r="854" spans="41:47" x14ac:dyDescent="0.2">
      <c r="AO854" s="85"/>
      <c r="AQ854" s="85"/>
      <c r="AS854" s="85"/>
      <c r="AU854" s="78"/>
    </row>
    <row r="855" spans="41:47" x14ac:dyDescent="0.2">
      <c r="AO855" s="85"/>
      <c r="AQ855" s="85"/>
      <c r="AS855" s="85"/>
      <c r="AU855" s="78"/>
    </row>
    <row r="856" spans="41:47" x14ac:dyDescent="0.2">
      <c r="AO856" s="85"/>
      <c r="AQ856" s="85"/>
      <c r="AS856" s="85"/>
      <c r="AU856" s="78"/>
    </row>
    <row r="857" spans="41:47" x14ac:dyDescent="0.2">
      <c r="AO857" s="85"/>
      <c r="AQ857" s="85"/>
      <c r="AS857" s="85"/>
      <c r="AU857" s="78"/>
    </row>
    <row r="858" spans="41:47" x14ac:dyDescent="0.2">
      <c r="AO858" s="85"/>
      <c r="AQ858" s="85"/>
      <c r="AS858" s="85"/>
      <c r="AU858" s="78"/>
    </row>
    <row r="859" spans="41:47" x14ac:dyDescent="0.2">
      <c r="AO859" s="85"/>
      <c r="AQ859" s="85"/>
      <c r="AS859" s="85"/>
      <c r="AU859" s="78"/>
    </row>
    <row r="860" spans="41:47" x14ac:dyDescent="0.2">
      <c r="AO860" s="85"/>
      <c r="AQ860" s="85"/>
      <c r="AS860" s="85"/>
      <c r="AU860" s="78"/>
    </row>
    <row r="861" spans="41:47" x14ac:dyDescent="0.2">
      <c r="AO861" s="85"/>
      <c r="AQ861" s="85"/>
      <c r="AS861" s="85"/>
      <c r="AU861" s="78"/>
    </row>
    <row r="862" spans="41:47" x14ac:dyDescent="0.2">
      <c r="AO862" s="85"/>
      <c r="AQ862" s="85"/>
      <c r="AS862" s="85"/>
      <c r="AU862" s="78"/>
    </row>
    <row r="863" spans="41:47" x14ac:dyDescent="0.2">
      <c r="AO863" s="85"/>
      <c r="AQ863" s="85"/>
      <c r="AS863" s="85"/>
      <c r="AU863" s="78"/>
    </row>
    <row r="864" spans="41:47" x14ac:dyDescent="0.2">
      <c r="AO864" s="85"/>
      <c r="AQ864" s="85"/>
      <c r="AS864" s="85"/>
      <c r="AU864" s="78"/>
    </row>
    <row r="865" spans="41:47" x14ac:dyDescent="0.2">
      <c r="AO865" s="85"/>
      <c r="AQ865" s="85"/>
      <c r="AS865" s="85"/>
      <c r="AU865" s="78"/>
    </row>
    <row r="866" spans="41:47" x14ac:dyDescent="0.2">
      <c r="AO866" s="85"/>
      <c r="AQ866" s="85"/>
      <c r="AS866" s="85"/>
      <c r="AU866" s="78"/>
    </row>
    <row r="867" spans="41:47" x14ac:dyDescent="0.2">
      <c r="AO867" s="85"/>
      <c r="AQ867" s="85"/>
      <c r="AS867" s="85"/>
      <c r="AU867" s="78"/>
    </row>
    <row r="868" spans="41:47" x14ac:dyDescent="0.2">
      <c r="AO868" s="85"/>
      <c r="AQ868" s="85"/>
      <c r="AS868" s="85"/>
      <c r="AU868" s="78"/>
    </row>
    <row r="869" spans="41:47" x14ac:dyDescent="0.2">
      <c r="AO869" s="85"/>
      <c r="AQ869" s="85"/>
      <c r="AS869" s="85"/>
      <c r="AU869" s="78"/>
    </row>
    <row r="870" spans="41:47" x14ac:dyDescent="0.2">
      <c r="AO870" s="85"/>
      <c r="AQ870" s="85"/>
      <c r="AS870" s="85"/>
      <c r="AU870" s="78"/>
    </row>
    <row r="871" spans="41:47" x14ac:dyDescent="0.2">
      <c r="AO871" s="85"/>
      <c r="AQ871" s="85"/>
      <c r="AS871" s="85"/>
      <c r="AU871" s="78"/>
    </row>
    <row r="872" spans="41:47" x14ac:dyDescent="0.2">
      <c r="AO872" s="85"/>
      <c r="AQ872" s="85"/>
      <c r="AS872" s="85"/>
      <c r="AU872" s="78"/>
    </row>
    <row r="873" spans="41:47" x14ac:dyDescent="0.2">
      <c r="AO873" s="85"/>
      <c r="AQ873" s="85"/>
      <c r="AS873" s="85"/>
      <c r="AU873" s="78"/>
    </row>
    <row r="874" spans="41:47" x14ac:dyDescent="0.2">
      <c r="AO874" s="85"/>
      <c r="AQ874" s="85"/>
      <c r="AS874" s="85"/>
      <c r="AU874" s="78"/>
    </row>
    <row r="875" spans="41:47" x14ac:dyDescent="0.2">
      <c r="AO875" s="85"/>
      <c r="AQ875" s="85"/>
      <c r="AS875" s="85"/>
      <c r="AU875" s="78"/>
    </row>
    <row r="876" spans="41:47" x14ac:dyDescent="0.2">
      <c r="AO876" s="85"/>
      <c r="AQ876" s="85"/>
      <c r="AS876" s="85"/>
      <c r="AU876" s="78"/>
    </row>
    <row r="877" spans="41:47" x14ac:dyDescent="0.2">
      <c r="AO877" s="85"/>
      <c r="AQ877" s="85"/>
      <c r="AS877" s="85"/>
      <c r="AU877" s="78"/>
    </row>
    <row r="878" spans="41:47" x14ac:dyDescent="0.2">
      <c r="AO878" s="85"/>
      <c r="AQ878" s="85"/>
      <c r="AS878" s="85"/>
      <c r="AU878" s="78"/>
    </row>
    <row r="879" spans="41:47" x14ac:dyDescent="0.2">
      <c r="AO879" s="85"/>
      <c r="AQ879" s="85"/>
      <c r="AS879" s="85"/>
      <c r="AU879" s="78"/>
    </row>
    <row r="880" spans="41:47" x14ac:dyDescent="0.2">
      <c r="AO880" s="85"/>
      <c r="AQ880" s="85"/>
      <c r="AS880" s="85"/>
      <c r="AU880" s="78"/>
    </row>
    <row r="881" spans="41:47" x14ac:dyDescent="0.2">
      <c r="AO881" s="85"/>
      <c r="AQ881" s="85"/>
      <c r="AS881" s="85"/>
      <c r="AU881" s="78"/>
    </row>
    <row r="882" spans="41:47" x14ac:dyDescent="0.2">
      <c r="AO882" s="85"/>
      <c r="AQ882" s="85"/>
      <c r="AS882" s="85"/>
      <c r="AU882" s="78"/>
    </row>
    <row r="883" spans="41:47" x14ac:dyDescent="0.2">
      <c r="AO883" s="85"/>
      <c r="AQ883" s="85"/>
      <c r="AS883" s="85"/>
      <c r="AU883" s="78"/>
    </row>
    <row r="884" spans="41:47" x14ac:dyDescent="0.2">
      <c r="AO884" s="85"/>
      <c r="AQ884" s="85"/>
      <c r="AS884" s="85"/>
      <c r="AU884" s="78"/>
    </row>
    <row r="885" spans="41:47" x14ac:dyDescent="0.2">
      <c r="AO885" s="85"/>
      <c r="AQ885" s="85"/>
      <c r="AS885" s="85"/>
      <c r="AU885" s="78"/>
    </row>
    <row r="886" spans="41:47" x14ac:dyDescent="0.2">
      <c r="AO886" s="85"/>
      <c r="AQ886" s="85"/>
      <c r="AS886" s="85"/>
      <c r="AU886" s="78"/>
    </row>
    <row r="887" spans="41:47" x14ac:dyDescent="0.2">
      <c r="AO887" s="85"/>
      <c r="AQ887" s="85"/>
      <c r="AS887" s="85"/>
      <c r="AU887" s="78"/>
    </row>
    <row r="888" spans="41:47" x14ac:dyDescent="0.2">
      <c r="AO888" s="85"/>
      <c r="AQ888" s="85"/>
      <c r="AS888" s="85"/>
      <c r="AU888" s="78"/>
    </row>
    <row r="889" spans="41:47" x14ac:dyDescent="0.2">
      <c r="AO889" s="85"/>
      <c r="AQ889" s="85"/>
      <c r="AS889" s="85"/>
      <c r="AU889" s="78"/>
    </row>
    <row r="890" spans="41:47" x14ac:dyDescent="0.2">
      <c r="AO890" s="85"/>
      <c r="AQ890" s="85"/>
      <c r="AS890" s="85"/>
      <c r="AU890" s="78"/>
    </row>
    <row r="891" spans="41:47" x14ac:dyDescent="0.2">
      <c r="AO891" s="85"/>
      <c r="AQ891" s="85"/>
      <c r="AS891" s="85"/>
      <c r="AU891" s="78"/>
    </row>
    <row r="892" spans="41:47" x14ac:dyDescent="0.2">
      <c r="AO892" s="85"/>
      <c r="AQ892" s="85"/>
      <c r="AS892" s="85"/>
      <c r="AU892" s="78"/>
    </row>
    <row r="893" spans="41:47" x14ac:dyDescent="0.2">
      <c r="AO893" s="85"/>
      <c r="AQ893" s="85"/>
      <c r="AS893" s="85"/>
      <c r="AU893" s="78"/>
    </row>
    <row r="894" spans="41:47" x14ac:dyDescent="0.2">
      <c r="AO894" s="85"/>
      <c r="AQ894" s="85"/>
      <c r="AS894" s="85"/>
      <c r="AU894" s="78"/>
    </row>
    <row r="895" spans="41:47" x14ac:dyDescent="0.2">
      <c r="AO895" s="85"/>
      <c r="AQ895" s="85"/>
      <c r="AS895" s="85"/>
      <c r="AU895" s="78"/>
    </row>
    <row r="896" spans="41:47" x14ac:dyDescent="0.2">
      <c r="AO896" s="85"/>
      <c r="AQ896" s="85"/>
      <c r="AS896" s="85"/>
      <c r="AU896" s="78"/>
    </row>
    <row r="897" spans="41:47" x14ac:dyDescent="0.2">
      <c r="AO897" s="85"/>
      <c r="AQ897" s="85"/>
      <c r="AS897" s="85"/>
      <c r="AU897" s="78"/>
    </row>
    <row r="898" spans="41:47" x14ac:dyDescent="0.2">
      <c r="AO898" s="85"/>
      <c r="AQ898" s="85"/>
      <c r="AS898" s="85"/>
      <c r="AU898" s="78"/>
    </row>
    <row r="899" spans="41:47" x14ac:dyDescent="0.2">
      <c r="AO899" s="85"/>
      <c r="AQ899" s="85"/>
      <c r="AS899" s="85"/>
      <c r="AU899" s="78"/>
    </row>
    <row r="900" spans="41:47" x14ac:dyDescent="0.2">
      <c r="AO900" s="85"/>
      <c r="AQ900" s="85"/>
      <c r="AS900" s="85"/>
      <c r="AU900" s="78"/>
    </row>
    <row r="901" spans="41:47" x14ac:dyDescent="0.2">
      <c r="AO901" s="85"/>
      <c r="AQ901" s="85"/>
      <c r="AS901" s="85"/>
      <c r="AU901" s="78"/>
    </row>
    <row r="902" spans="41:47" x14ac:dyDescent="0.2">
      <c r="AO902" s="85"/>
      <c r="AQ902" s="85"/>
      <c r="AS902" s="85"/>
      <c r="AU902" s="78"/>
    </row>
    <row r="903" spans="41:47" x14ac:dyDescent="0.2">
      <c r="AO903" s="85"/>
      <c r="AQ903" s="85"/>
      <c r="AS903" s="85"/>
      <c r="AU903" s="78"/>
    </row>
    <row r="904" spans="41:47" x14ac:dyDescent="0.2">
      <c r="AO904" s="85"/>
      <c r="AQ904" s="85"/>
      <c r="AS904" s="85"/>
      <c r="AU904" s="78"/>
    </row>
    <row r="905" spans="41:47" x14ac:dyDescent="0.2">
      <c r="AO905" s="85"/>
      <c r="AQ905" s="85"/>
      <c r="AS905" s="85"/>
      <c r="AU905" s="78"/>
    </row>
    <row r="906" spans="41:47" x14ac:dyDescent="0.2">
      <c r="AO906" s="85"/>
      <c r="AQ906" s="85"/>
      <c r="AS906" s="85"/>
      <c r="AU906" s="78"/>
    </row>
    <row r="907" spans="41:47" x14ac:dyDescent="0.2">
      <c r="AO907" s="85"/>
      <c r="AQ907" s="85"/>
      <c r="AS907" s="85"/>
      <c r="AU907" s="78"/>
    </row>
    <row r="908" spans="41:47" x14ac:dyDescent="0.2">
      <c r="AO908" s="85"/>
      <c r="AQ908" s="85"/>
      <c r="AS908" s="85"/>
      <c r="AU908" s="78"/>
    </row>
    <row r="909" spans="41:47" x14ac:dyDescent="0.2">
      <c r="AO909" s="85"/>
      <c r="AQ909" s="85"/>
      <c r="AS909" s="85"/>
      <c r="AU909" s="78"/>
    </row>
    <row r="910" spans="41:47" x14ac:dyDescent="0.2">
      <c r="AO910" s="85"/>
      <c r="AQ910" s="85"/>
      <c r="AS910" s="85"/>
      <c r="AU910" s="78"/>
    </row>
    <row r="911" spans="41:47" x14ac:dyDescent="0.2">
      <c r="AO911" s="85"/>
      <c r="AQ911" s="85"/>
      <c r="AS911" s="85"/>
      <c r="AU911" s="78"/>
    </row>
    <row r="912" spans="41:47" x14ac:dyDescent="0.2">
      <c r="AO912" s="85"/>
      <c r="AQ912" s="85"/>
      <c r="AS912" s="85"/>
      <c r="AU912" s="78"/>
    </row>
    <row r="913" spans="41:47" x14ac:dyDescent="0.2">
      <c r="AO913" s="85"/>
      <c r="AQ913" s="85"/>
      <c r="AS913" s="85"/>
      <c r="AU913" s="78"/>
    </row>
    <row r="914" spans="41:47" x14ac:dyDescent="0.2">
      <c r="AO914" s="85"/>
      <c r="AQ914" s="85"/>
      <c r="AS914" s="85"/>
      <c r="AU914" s="78"/>
    </row>
    <row r="915" spans="41:47" x14ac:dyDescent="0.2">
      <c r="AO915" s="85"/>
      <c r="AQ915" s="85"/>
      <c r="AS915" s="85"/>
      <c r="AU915" s="78"/>
    </row>
    <row r="916" spans="41:47" x14ac:dyDescent="0.2">
      <c r="AO916" s="85"/>
      <c r="AQ916" s="85"/>
      <c r="AS916" s="85"/>
      <c r="AU916" s="78"/>
    </row>
    <row r="917" spans="41:47" x14ac:dyDescent="0.2">
      <c r="AO917" s="85"/>
      <c r="AQ917" s="85"/>
      <c r="AS917" s="85"/>
      <c r="AU917" s="78"/>
    </row>
    <row r="918" spans="41:47" x14ac:dyDescent="0.2">
      <c r="AO918" s="85"/>
      <c r="AQ918" s="85"/>
      <c r="AS918" s="85"/>
      <c r="AU918" s="78"/>
    </row>
    <row r="919" spans="41:47" x14ac:dyDescent="0.2">
      <c r="AO919" s="85"/>
      <c r="AQ919" s="85"/>
      <c r="AS919" s="85"/>
      <c r="AU919" s="78"/>
    </row>
    <row r="920" spans="41:47" x14ac:dyDescent="0.2">
      <c r="AO920" s="85"/>
      <c r="AQ920" s="85"/>
      <c r="AS920" s="85"/>
      <c r="AU920" s="78"/>
    </row>
    <row r="921" spans="41:47" x14ac:dyDescent="0.2">
      <c r="AO921" s="85"/>
      <c r="AQ921" s="85"/>
      <c r="AS921" s="85"/>
      <c r="AU921" s="78"/>
    </row>
    <row r="922" spans="41:47" x14ac:dyDescent="0.2">
      <c r="AO922" s="85"/>
      <c r="AQ922" s="85"/>
      <c r="AS922" s="85"/>
      <c r="AU922" s="78"/>
    </row>
    <row r="923" spans="41:47" x14ac:dyDescent="0.2">
      <c r="AO923" s="85"/>
      <c r="AQ923" s="85"/>
      <c r="AS923" s="85"/>
      <c r="AU923" s="78"/>
    </row>
    <row r="924" spans="41:47" x14ac:dyDescent="0.2">
      <c r="AO924" s="85"/>
      <c r="AQ924" s="85"/>
      <c r="AS924" s="85"/>
      <c r="AU924" s="78"/>
    </row>
    <row r="925" spans="41:47" x14ac:dyDescent="0.2">
      <c r="AO925" s="85"/>
      <c r="AQ925" s="85"/>
      <c r="AS925" s="85"/>
      <c r="AU925" s="78"/>
    </row>
    <row r="926" spans="41:47" x14ac:dyDescent="0.2">
      <c r="AO926" s="85"/>
      <c r="AQ926" s="85"/>
      <c r="AS926" s="85"/>
      <c r="AU926" s="78"/>
    </row>
    <row r="927" spans="41:47" x14ac:dyDescent="0.2">
      <c r="AO927" s="85"/>
      <c r="AQ927" s="85"/>
      <c r="AS927" s="85"/>
      <c r="AU927" s="78"/>
    </row>
    <row r="928" spans="41:47" x14ac:dyDescent="0.2">
      <c r="AO928" s="85"/>
      <c r="AQ928" s="85"/>
      <c r="AS928" s="85"/>
      <c r="AU928" s="78"/>
    </row>
    <row r="929" spans="41:47" x14ac:dyDescent="0.2">
      <c r="AO929" s="85"/>
      <c r="AQ929" s="85"/>
      <c r="AS929" s="85"/>
      <c r="AU929" s="78"/>
    </row>
    <row r="930" spans="41:47" x14ac:dyDescent="0.2">
      <c r="AO930" s="85"/>
      <c r="AQ930" s="85"/>
      <c r="AS930" s="85"/>
      <c r="AU930" s="78"/>
    </row>
    <row r="931" spans="41:47" x14ac:dyDescent="0.2">
      <c r="AO931" s="85"/>
      <c r="AQ931" s="85"/>
      <c r="AS931" s="85"/>
      <c r="AU931" s="78"/>
    </row>
    <row r="932" spans="41:47" x14ac:dyDescent="0.2">
      <c r="AO932" s="85"/>
      <c r="AQ932" s="85"/>
      <c r="AS932" s="85"/>
      <c r="AU932" s="78"/>
    </row>
    <row r="933" spans="41:47" x14ac:dyDescent="0.2">
      <c r="AO933" s="85"/>
      <c r="AQ933" s="85"/>
      <c r="AS933" s="85"/>
      <c r="AU933" s="78"/>
    </row>
    <row r="934" spans="41:47" x14ac:dyDescent="0.2">
      <c r="AO934" s="85"/>
      <c r="AQ934" s="85"/>
      <c r="AS934" s="85"/>
      <c r="AU934" s="78"/>
    </row>
    <row r="935" spans="41:47" x14ac:dyDescent="0.2">
      <c r="AO935" s="85"/>
      <c r="AQ935" s="85"/>
      <c r="AS935" s="85"/>
      <c r="AU935" s="78"/>
    </row>
    <row r="936" spans="41:47" x14ac:dyDescent="0.2">
      <c r="AO936" s="85"/>
      <c r="AQ936" s="85"/>
      <c r="AS936" s="85"/>
      <c r="AU936" s="78"/>
    </row>
    <row r="937" spans="41:47" x14ac:dyDescent="0.2">
      <c r="AO937" s="85"/>
      <c r="AQ937" s="85"/>
      <c r="AS937" s="85"/>
      <c r="AU937" s="78"/>
    </row>
    <row r="938" spans="41:47" x14ac:dyDescent="0.2">
      <c r="AO938" s="85"/>
      <c r="AQ938" s="85"/>
      <c r="AS938" s="85"/>
      <c r="AU938" s="78"/>
    </row>
    <row r="939" spans="41:47" x14ac:dyDescent="0.2">
      <c r="AO939" s="85"/>
      <c r="AQ939" s="85"/>
      <c r="AS939" s="85"/>
      <c r="AU939" s="78"/>
    </row>
    <row r="940" spans="41:47" x14ac:dyDescent="0.2">
      <c r="AO940" s="85"/>
      <c r="AQ940" s="85"/>
      <c r="AS940" s="85"/>
      <c r="AU940" s="78"/>
    </row>
    <row r="941" spans="41:47" x14ac:dyDescent="0.2">
      <c r="AO941" s="85"/>
      <c r="AQ941" s="85"/>
      <c r="AS941" s="85"/>
      <c r="AU941" s="78"/>
    </row>
    <row r="942" spans="41:47" x14ac:dyDescent="0.2">
      <c r="AO942" s="85"/>
      <c r="AQ942" s="85"/>
      <c r="AS942" s="85"/>
      <c r="AU942" s="78"/>
    </row>
    <row r="943" spans="41:47" x14ac:dyDescent="0.2">
      <c r="AO943" s="85"/>
      <c r="AQ943" s="85"/>
      <c r="AS943" s="85"/>
      <c r="AU943" s="78"/>
    </row>
    <row r="944" spans="41:47" x14ac:dyDescent="0.2">
      <c r="AO944" s="85"/>
      <c r="AQ944" s="85"/>
      <c r="AS944" s="85"/>
      <c r="AU944" s="78"/>
    </row>
    <row r="945" spans="41:47" x14ac:dyDescent="0.2">
      <c r="AO945" s="85"/>
      <c r="AQ945" s="85"/>
      <c r="AS945" s="85"/>
      <c r="AU945" s="78"/>
    </row>
    <row r="946" spans="41:47" x14ac:dyDescent="0.2">
      <c r="AO946" s="85"/>
      <c r="AQ946" s="85"/>
      <c r="AS946" s="85"/>
      <c r="AU946" s="78"/>
    </row>
    <row r="947" spans="41:47" x14ac:dyDescent="0.2">
      <c r="AO947" s="85"/>
      <c r="AQ947" s="85"/>
      <c r="AS947" s="85"/>
      <c r="AU947" s="78"/>
    </row>
    <row r="948" spans="41:47" x14ac:dyDescent="0.2">
      <c r="AO948" s="85"/>
      <c r="AQ948" s="85"/>
      <c r="AS948" s="85"/>
      <c r="AU948" s="78"/>
    </row>
    <row r="949" spans="41:47" x14ac:dyDescent="0.2">
      <c r="AO949" s="85"/>
      <c r="AQ949" s="85"/>
      <c r="AS949" s="85"/>
      <c r="AU949" s="78"/>
    </row>
    <row r="950" spans="41:47" x14ac:dyDescent="0.2">
      <c r="AO950" s="85"/>
      <c r="AQ950" s="85"/>
      <c r="AS950" s="85"/>
      <c r="AU950" s="78"/>
    </row>
    <row r="951" spans="41:47" x14ac:dyDescent="0.2">
      <c r="AO951" s="85"/>
      <c r="AQ951" s="85"/>
      <c r="AS951" s="85"/>
      <c r="AU951" s="78"/>
    </row>
    <row r="952" spans="41:47" x14ac:dyDescent="0.2">
      <c r="AO952" s="85"/>
      <c r="AQ952" s="85"/>
      <c r="AS952" s="85"/>
      <c r="AU952" s="78"/>
    </row>
    <row r="953" spans="41:47" x14ac:dyDescent="0.2">
      <c r="AO953" s="85"/>
      <c r="AQ953" s="85"/>
      <c r="AS953" s="85"/>
      <c r="AU953" s="78"/>
    </row>
    <row r="954" spans="41:47" x14ac:dyDescent="0.2">
      <c r="AO954" s="85"/>
      <c r="AQ954" s="85"/>
      <c r="AS954" s="85"/>
      <c r="AU954" s="78"/>
    </row>
    <row r="955" spans="41:47" x14ac:dyDescent="0.2">
      <c r="AO955" s="85"/>
      <c r="AQ955" s="85"/>
      <c r="AS955" s="85"/>
      <c r="AU955" s="78"/>
    </row>
    <row r="956" spans="41:47" x14ac:dyDescent="0.2">
      <c r="AO956" s="85"/>
      <c r="AQ956" s="85"/>
      <c r="AS956" s="85"/>
      <c r="AU956" s="78"/>
    </row>
    <row r="957" spans="41:47" x14ac:dyDescent="0.2">
      <c r="AO957" s="85"/>
      <c r="AQ957" s="85"/>
      <c r="AS957" s="85"/>
      <c r="AU957" s="78"/>
    </row>
    <row r="958" spans="41:47" x14ac:dyDescent="0.2">
      <c r="AO958" s="85"/>
      <c r="AQ958" s="85"/>
      <c r="AS958" s="85"/>
      <c r="AU958" s="78"/>
    </row>
    <row r="959" spans="41:47" x14ac:dyDescent="0.2">
      <c r="AO959" s="85"/>
      <c r="AQ959" s="85"/>
      <c r="AS959" s="85"/>
      <c r="AU959" s="78"/>
    </row>
    <row r="960" spans="41:47" x14ac:dyDescent="0.2">
      <c r="AO960" s="85"/>
      <c r="AQ960" s="85"/>
      <c r="AS960" s="85"/>
      <c r="AU960" s="78"/>
    </row>
    <row r="961" spans="41:47" x14ac:dyDescent="0.2">
      <c r="AO961" s="85"/>
      <c r="AQ961" s="85"/>
      <c r="AS961" s="85"/>
      <c r="AU961" s="78"/>
    </row>
    <row r="962" spans="41:47" x14ac:dyDescent="0.2">
      <c r="AO962" s="85"/>
      <c r="AQ962" s="85"/>
      <c r="AS962" s="85"/>
      <c r="AU962" s="78"/>
    </row>
    <row r="963" spans="41:47" x14ac:dyDescent="0.2">
      <c r="AO963" s="85"/>
      <c r="AQ963" s="85"/>
      <c r="AS963" s="85"/>
      <c r="AU963" s="78"/>
    </row>
    <row r="964" spans="41:47" x14ac:dyDescent="0.2">
      <c r="AO964" s="85"/>
      <c r="AQ964" s="85"/>
      <c r="AS964" s="85"/>
      <c r="AU964" s="78"/>
    </row>
    <row r="965" spans="41:47" x14ac:dyDescent="0.2">
      <c r="AO965" s="85"/>
      <c r="AQ965" s="85"/>
      <c r="AS965" s="85"/>
      <c r="AU965" s="78"/>
    </row>
    <row r="966" spans="41:47" x14ac:dyDescent="0.2">
      <c r="AO966" s="85"/>
      <c r="AQ966" s="85"/>
      <c r="AS966" s="85"/>
      <c r="AU966" s="78"/>
    </row>
    <row r="967" spans="41:47" x14ac:dyDescent="0.2">
      <c r="AO967" s="85"/>
      <c r="AQ967" s="85"/>
      <c r="AS967" s="85"/>
      <c r="AU967" s="78"/>
    </row>
    <row r="968" spans="41:47" x14ac:dyDescent="0.2">
      <c r="AO968" s="85"/>
      <c r="AQ968" s="85"/>
      <c r="AS968" s="85"/>
      <c r="AU968" s="78"/>
    </row>
    <row r="969" spans="41:47" x14ac:dyDescent="0.2">
      <c r="AO969" s="85"/>
      <c r="AQ969" s="85"/>
      <c r="AS969" s="85"/>
      <c r="AU969" s="78"/>
    </row>
    <row r="970" spans="41:47" x14ac:dyDescent="0.2">
      <c r="AO970" s="85"/>
      <c r="AQ970" s="85"/>
      <c r="AS970" s="85"/>
      <c r="AU970" s="78"/>
    </row>
    <row r="971" spans="41:47" x14ac:dyDescent="0.2">
      <c r="AO971" s="85"/>
      <c r="AQ971" s="85"/>
      <c r="AS971" s="85"/>
      <c r="AU971" s="78"/>
    </row>
    <row r="972" spans="41:47" x14ac:dyDescent="0.2">
      <c r="AO972" s="85"/>
      <c r="AQ972" s="85"/>
      <c r="AS972" s="85"/>
      <c r="AU972" s="78"/>
    </row>
    <row r="973" spans="41:47" x14ac:dyDescent="0.2">
      <c r="AO973" s="85"/>
      <c r="AQ973" s="85"/>
      <c r="AS973" s="85"/>
      <c r="AU973" s="78"/>
    </row>
    <row r="974" spans="41:47" x14ac:dyDescent="0.2">
      <c r="AO974" s="85"/>
      <c r="AQ974" s="85"/>
      <c r="AS974" s="85"/>
      <c r="AU974" s="78"/>
    </row>
    <row r="975" spans="41:47" x14ac:dyDescent="0.2">
      <c r="AO975" s="85"/>
      <c r="AQ975" s="85"/>
      <c r="AS975" s="85"/>
      <c r="AU975" s="78"/>
    </row>
    <row r="976" spans="41:47" x14ac:dyDescent="0.2">
      <c r="AO976" s="85"/>
      <c r="AQ976" s="85"/>
      <c r="AS976" s="85"/>
      <c r="AU976" s="78"/>
    </row>
    <row r="977" spans="41:47" x14ac:dyDescent="0.2">
      <c r="AO977" s="85"/>
      <c r="AQ977" s="85"/>
      <c r="AS977" s="85"/>
      <c r="AU977" s="78"/>
    </row>
    <row r="978" spans="41:47" x14ac:dyDescent="0.2">
      <c r="AO978" s="85"/>
      <c r="AQ978" s="85"/>
      <c r="AS978" s="85"/>
      <c r="AU978" s="78"/>
    </row>
    <row r="979" spans="41:47" x14ac:dyDescent="0.2">
      <c r="AO979" s="85"/>
      <c r="AQ979" s="85"/>
      <c r="AS979" s="85"/>
      <c r="AU979" s="78"/>
    </row>
    <row r="980" spans="41:47" x14ac:dyDescent="0.2">
      <c r="AO980" s="85"/>
      <c r="AQ980" s="85"/>
      <c r="AS980" s="85"/>
      <c r="AU980" s="78"/>
    </row>
    <row r="981" spans="41:47" x14ac:dyDescent="0.2">
      <c r="AO981" s="85"/>
      <c r="AQ981" s="85"/>
      <c r="AS981" s="85"/>
      <c r="AU981" s="78"/>
    </row>
    <row r="982" spans="41:47" x14ac:dyDescent="0.2">
      <c r="AO982" s="85"/>
      <c r="AQ982" s="85"/>
      <c r="AS982" s="85"/>
      <c r="AU982" s="78"/>
    </row>
    <row r="983" spans="41:47" x14ac:dyDescent="0.2">
      <c r="AO983" s="85"/>
      <c r="AQ983" s="85"/>
      <c r="AS983" s="85"/>
      <c r="AU983" s="78"/>
    </row>
    <row r="984" spans="41:47" x14ac:dyDescent="0.2">
      <c r="AO984" s="85"/>
      <c r="AQ984" s="85"/>
      <c r="AS984" s="85"/>
      <c r="AU984" s="78"/>
    </row>
    <row r="985" spans="41:47" x14ac:dyDescent="0.2">
      <c r="AO985" s="85"/>
      <c r="AQ985" s="85"/>
      <c r="AS985" s="85"/>
      <c r="AU985" s="78"/>
    </row>
    <row r="986" spans="41:47" x14ac:dyDescent="0.2">
      <c r="AO986" s="85"/>
      <c r="AQ986" s="85"/>
      <c r="AS986" s="85"/>
      <c r="AU986" s="78"/>
    </row>
    <row r="987" spans="41:47" x14ac:dyDescent="0.2">
      <c r="AO987" s="85"/>
      <c r="AQ987" s="85"/>
      <c r="AS987" s="85"/>
      <c r="AU987" s="78"/>
    </row>
    <row r="988" spans="41:47" x14ac:dyDescent="0.2">
      <c r="AO988" s="85"/>
      <c r="AQ988" s="85"/>
      <c r="AS988" s="85"/>
      <c r="AU988" s="78"/>
    </row>
    <row r="989" spans="41:47" x14ac:dyDescent="0.2">
      <c r="AO989" s="85"/>
      <c r="AQ989" s="85"/>
      <c r="AS989" s="85"/>
      <c r="AU989" s="78"/>
    </row>
    <row r="990" spans="41:47" x14ac:dyDescent="0.2">
      <c r="AO990" s="85"/>
      <c r="AQ990" s="85"/>
      <c r="AS990" s="85"/>
      <c r="AU990" s="78"/>
    </row>
    <row r="991" spans="41:47" x14ac:dyDescent="0.2">
      <c r="AO991" s="85"/>
      <c r="AQ991" s="85"/>
      <c r="AS991" s="85"/>
      <c r="AU991" s="78"/>
    </row>
    <row r="992" spans="41:47" x14ac:dyDescent="0.2">
      <c r="AO992" s="85"/>
      <c r="AQ992" s="85"/>
      <c r="AS992" s="85"/>
      <c r="AU992" s="78"/>
    </row>
    <row r="993" spans="41:47" x14ac:dyDescent="0.2">
      <c r="AO993" s="85"/>
      <c r="AQ993" s="85"/>
      <c r="AS993" s="85"/>
      <c r="AU993" s="78"/>
    </row>
    <row r="994" spans="41:47" x14ac:dyDescent="0.2">
      <c r="AO994" s="85"/>
      <c r="AQ994" s="85"/>
      <c r="AS994" s="85"/>
      <c r="AU994" s="78"/>
    </row>
    <row r="995" spans="41:47" x14ac:dyDescent="0.2">
      <c r="AO995" s="85"/>
      <c r="AQ995" s="85"/>
      <c r="AS995" s="85"/>
      <c r="AU995" s="78"/>
    </row>
    <row r="996" spans="41:47" x14ac:dyDescent="0.2">
      <c r="AO996" s="85"/>
      <c r="AQ996" s="85"/>
      <c r="AS996" s="85"/>
      <c r="AU996" s="78"/>
    </row>
    <row r="997" spans="41:47" x14ac:dyDescent="0.2">
      <c r="AO997" s="85"/>
      <c r="AQ997" s="85"/>
      <c r="AS997" s="85"/>
      <c r="AU997" s="78"/>
    </row>
    <row r="998" spans="41:47" x14ac:dyDescent="0.2">
      <c r="AO998" s="85"/>
      <c r="AQ998" s="85"/>
      <c r="AS998" s="85"/>
      <c r="AU998" s="78"/>
    </row>
    <row r="999" spans="41:47" x14ac:dyDescent="0.2">
      <c r="AO999" s="85"/>
      <c r="AQ999" s="85"/>
      <c r="AS999" s="85"/>
      <c r="AU999" s="78"/>
    </row>
    <row r="1000" spans="41:47" x14ac:dyDescent="0.2">
      <c r="AO1000" s="85"/>
      <c r="AQ1000" s="85"/>
      <c r="AS1000" s="85"/>
      <c r="AU1000" s="78"/>
    </row>
    <row r="1001" spans="41:47" x14ac:dyDescent="0.2">
      <c r="AO1001" s="85"/>
      <c r="AQ1001" s="85"/>
      <c r="AS1001" s="85"/>
    </row>
    <row r="1002" spans="41:47" x14ac:dyDescent="0.2">
      <c r="AO1002" s="85"/>
    </row>
    <row r="1003" spans="41:47" x14ac:dyDescent="0.2">
      <c r="AO1003" s="85"/>
    </row>
    <row r="1004" spans="41:47" x14ac:dyDescent="0.2">
      <c r="AO1004" s="85"/>
    </row>
    <row r="1005" spans="41:47" x14ac:dyDescent="0.2">
      <c r="AO1005" s="85"/>
    </row>
    <row r="1006" spans="41:47" x14ac:dyDescent="0.2">
      <c r="AO1006" s="85"/>
    </row>
    <row r="1007" spans="41:47" x14ac:dyDescent="0.2">
      <c r="AO1007" s="85"/>
    </row>
    <row r="1008" spans="41:47" x14ac:dyDescent="0.2">
      <c r="AO1008" s="85"/>
    </row>
    <row r="1009" spans="41:41" x14ac:dyDescent="0.2">
      <c r="AO1009" s="85"/>
    </row>
    <row r="1010" spans="41:41" x14ac:dyDescent="0.2">
      <c r="AO1010" s="85"/>
    </row>
    <row r="1011" spans="41:41" x14ac:dyDescent="0.2">
      <c r="AO1011" s="85"/>
    </row>
    <row r="1012" spans="41:41" x14ac:dyDescent="0.2">
      <c r="AO1012" s="85"/>
    </row>
    <row r="1013" spans="41:41" x14ac:dyDescent="0.2">
      <c r="AO1013" s="85"/>
    </row>
    <row r="1014" spans="41:41" x14ac:dyDescent="0.2">
      <c r="AO1014" s="85"/>
    </row>
    <row r="1015" spans="41:41" x14ac:dyDescent="0.2">
      <c r="AO1015" s="85"/>
    </row>
    <row r="1016" spans="41:41" x14ac:dyDescent="0.2">
      <c r="AO1016" s="85"/>
    </row>
    <row r="1017" spans="41:41" x14ac:dyDescent="0.2">
      <c r="AO1017" s="85"/>
    </row>
    <row r="1018" spans="41:41" x14ac:dyDescent="0.2">
      <c r="AO1018" s="85"/>
    </row>
    <row r="1019" spans="41:41" x14ac:dyDescent="0.2">
      <c r="AO1019" s="85"/>
    </row>
    <row r="1020" spans="41:41" x14ac:dyDescent="0.2">
      <c r="AO1020" s="85"/>
    </row>
    <row r="1021" spans="41:41" x14ac:dyDescent="0.2">
      <c r="AO1021" s="85"/>
    </row>
    <row r="1022" spans="41:41" x14ac:dyDescent="0.2">
      <c r="AO1022" s="85"/>
    </row>
    <row r="1023" spans="41:41" x14ac:dyDescent="0.2">
      <c r="AO1023" s="85"/>
    </row>
    <row r="1024" spans="41:41" x14ac:dyDescent="0.2">
      <c r="AO1024" s="85"/>
    </row>
    <row r="1025" spans="41:41" x14ac:dyDescent="0.2">
      <c r="AO1025" s="85"/>
    </row>
    <row r="1026" spans="41:41" x14ac:dyDescent="0.2">
      <c r="AO1026" s="85"/>
    </row>
    <row r="1027" spans="41:41" x14ac:dyDescent="0.2">
      <c r="AO1027" s="85"/>
    </row>
    <row r="1028" spans="41:41" x14ac:dyDescent="0.2">
      <c r="AO1028" s="85"/>
    </row>
    <row r="1029" spans="41:41" x14ac:dyDescent="0.2">
      <c r="AO1029" s="85"/>
    </row>
    <row r="1030" spans="41:41" x14ac:dyDescent="0.2">
      <c r="AO1030" s="85"/>
    </row>
    <row r="1031" spans="41:41" x14ac:dyDescent="0.2">
      <c r="AO1031" s="85"/>
    </row>
    <row r="1032" spans="41:41" x14ac:dyDescent="0.2">
      <c r="AO1032" s="85"/>
    </row>
    <row r="1033" spans="41:41" x14ac:dyDescent="0.2">
      <c r="AO1033" s="85"/>
    </row>
    <row r="1034" spans="41:41" x14ac:dyDescent="0.2">
      <c r="AO1034" s="85"/>
    </row>
    <row r="1035" spans="41:41" x14ac:dyDescent="0.2">
      <c r="AO1035" s="85"/>
    </row>
    <row r="1036" spans="41:41" x14ac:dyDescent="0.2">
      <c r="AO1036" s="85"/>
    </row>
    <row r="1037" spans="41:41" x14ac:dyDescent="0.2">
      <c r="AO1037" s="85"/>
    </row>
    <row r="1038" spans="41:41" x14ac:dyDescent="0.2">
      <c r="AO1038" s="85"/>
    </row>
    <row r="1039" spans="41:41" x14ac:dyDescent="0.2">
      <c r="AO1039" s="85"/>
    </row>
    <row r="1040" spans="41:41" x14ac:dyDescent="0.2">
      <c r="AO1040" s="85"/>
    </row>
    <row r="1041" spans="41:41" x14ac:dyDescent="0.2">
      <c r="AO1041" s="85"/>
    </row>
    <row r="1042" spans="41:41" x14ac:dyDescent="0.2">
      <c r="AO1042" s="85"/>
    </row>
    <row r="1043" spans="41:41" x14ac:dyDescent="0.2">
      <c r="AO1043" s="85"/>
    </row>
    <row r="1044" spans="41:41" x14ac:dyDescent="0.2">
      <c r="AO1044" s="85"/>
    </row>
    <row r="1045" spans="41:41" x14ac:dyDescent="0.2">
      <c r="AO1045" s="85"/>
    </row>
    <row r="1046" spans="41:41" x14ac:dyDescent="0.2">
      <c r="AO1046" s="85"/>
    </row>
    <row r="1047" spans="41:41" x14ac:dyDescent="0.2">
      <c r="AO1047" s="85"/>
    </row>
    <row r="1048" spans="41:41" x14ac:dyDescent="0.2">
      <c r="AO1048" s="85"/>
    </row>
    <row r="1049" spans="41:41" x14ac:dyDescent="0.2">
      <c r="AO1049" s="85"/>
    </row>
    <row r="1050" spans="41:41" x14ac:dyDescent="0.2">
      <c r="AO1050" s="85"/>
    </row>
    <row r="1051" spans="41:41" x14ac:dyDescent="0.2">
      <c r="AO1051" s="85"/>
    </row>
    <row r="1052" spans="41:41" x14ac:dyDescent="0.2">
      <c r="AO1052" s="85"/>
    </row>
    <row r="1053" spans="41:41" x14ac:dyDescent="0.2">
      <c r="AO1053" s="85"/>
    </row>
    <row r="1054" spans="41:41" x14ac:dyDescent="0.2">
      <c r="AO1054" s="85"/>
    </row>
    <row r="1055" spans="41:41" x14ac:dyDescent="0.2">
      <c r="AO1055" s="85"/>
    </row>
    <row r="1056" spans="41:41" x14ac:dyDescent="0.2">
      <c r="AO1056" s="85"/>
    </row>
    <row r="1057" spans="41:41" x14ac:dyDescent="0.2">
      <c r="AO1057" s="85"/>
    </row>
    <row r="1058" spans="41:41" x14ac:dyDescent="0.2">
      <c r="AO1058" s="85"/>
    </row>
    <row r="1059" spans="41:41" x14ac:dyDescent="0.2">
      <c r="AO1059" s="85"/>
    </row>
    <row r="1060" spans="41:41" x14ac:dyDescent="0.2">
      <c r="AO1060" s="85"/>
    </row>
    <row r="1061" spans="41:41" x14ac:dyDescent="0.2">
      <c r="AO1061" s="85"/>
    </row>
    <row r="1062" spans="41:41" x14ac:dyDescent="0.2">
      <c r="AO1062" s="85"/>
    </row>
    <row r="1063" spans="41:41" x14ac:dyDescent="0.2">
      <c r="AO1063" s="85"/>
    </row>
    <row r="1064" spans="41:41" x14ac:dyDescent="0.2">
      <c r="AO1064" s="85"/>
    </row>
    <row r="1065" spans="41:41" x14ac:dyDescent="0.2">
      <c r="AO1065" s="85"/>
    </row>
    <row r="1066" spans="41:41" x14ac:dyDescent="0.2">
      <c r="AO1066" s="85"/>
    </row>
    <row r="1067" spans="41:41" x14ac:dyDescent="0.2">
      <c r="AO1067" s="85"/>
    </row>
    <row r="1068" spans="41:41" x14ac:dyDescent="0.2">
      <c r="AO1068" s="85"/>
    </row>
    <row r="1069" spans="41:41" x14ac:dyDescent="0.2">
      <c r="AO1069" s="85"/>
    </row>
    <row r="1070" spans="41:41" x14ac:dyDescent="0.2">
      <c r="AO1070" s="85"/>
    </row>
    <row r="1071" spans="41:41" x14ac:dyDescent="0.2">
      <c r="AO1071" s="85"/>
    </row>
    <row r="1072" spans="41:41" x14ac:dyDescent="0.2">
      <c r="AO1072" s="85"/>
    </row>
    <row r="1073" spans="41:41" x14ac:dyDescent="0.2">
      <c r="AO1073" s="85"/>
    </row>
    <row r="1074" spans="41:41" x14ac:dyDescent="0.2">
      <c r="AO1074" s="85"/>
    </row>
    <row r="1075" spans="41:41" x14ac:dyDescent="0.2">
      <c r="AO1075" s="85"/>
    </row>
    <row r="1076" spans="41:41" x14ac:dyDescent="0.2">
      <c r="AO1076" s="85"/>
    </row>
    <row r="1077" spans="41:41" x14ac:dyDescent="0.2">
      <c r="AO1077" s="85"/>
    </row>
    <row r="1078" spans="41:41" x14ac:dyDescent="0.2">
      <c r="AO1078" s="85"/>
    </row>
    <row r="1079" spans="41:41" x14ac:dyDescent="0.2">
      <c r="AO1079" s="85"/>
    </row>
    <row r="1080" spans="41:41" x14ac:dyDescent="0.2">
      <c r="AO1080" s="85"/>
    </row>
    <row r="1081" spans="41:41" x14ac:dyDescent="0.2">
      <c r="AO1081" s="85"/>
    </row>
    <row r="1082" spans="41:41" x14ac:dyDescent="0.2">
      <c r="AO1082" s="85"/>
    </row>
    <row r="1083" spans="41:41" x14ac:dyDescent="0.2">
      <c r="AO1083" s="85"/>
    </row>
    <row r="1084" spans="41:41" x14ac:dyDescent="0.2">
      <c r="AO1084" s="85"/>
    </row>
    <row r="1085" spans="41:41" x14ac:dyDescent="0.2">
      <c r="AO1085" s="85"/>
    </row>
    <row r="1086" spans="41:41" x14ac:dyDescent="0.2">
      <c r="AO1086" s="85"/>
    </row>
    <row r="1087" spans="41:41" x14ac:dyDescent="0.2">
      <c r="AO1087" s="85"/>
    </row>
    <row r="1088" spans="41:41" x14ac:dyDescent="0.2">
      <c r="AO1088" s="85"/>
    </row>
    <row r="1089" spans="41:41" x14ac:dyDescent="0.2">
      <c r="AO1089" s="85"/>
    </row>
    <row r="1090" spans="41:41" x14ac:dyDescent="0.2">
      <c r="AO1090" s="85"/>
    </row>
    <row r="1091" spans="41:41" x14ac:dyDescent="0.2">
      <c r="AO1091" s="85"/>
    </row>
    <row r="1092" spans="41:41" x14ac:dyDescent="0.2">
      <c r="AO1092" s="85"/>
    </row>
    <row r="1093" spans="41:41" x14ac:dyDescent="0.2">
      <c r="AO1093" s="85"/>
    </row>
    <row r="1094" spans="41:41" x14ac:dyDescent="0.2">
      <c r="AO1094" s="85"/>
    </row>
    <row r="1095" spans="41:41" x14ac:dyDescent="0.2">
      <c r="AO1095" s="85"/>
    </row>
    <row r="1096" spans="41:41" x14ac:dyDescent="0.2">
      <c r="AO1096" s="85"/>
    </row>
    <row r="1097" spans="41:41" x14ac:dyDescent="0.2">
      <c r="AO1097" s="85"/>
    </row>
    <row r="1098" spans="41:41" x14ac:dyDescent="0.2">
      <c r="AO1098" s="85"/>
    </row>
    <row r="1099" spans="41:41" x14ac:dyDescent="0.2">
      <c r="AO1099" s="85"/>
    </row>
    <row r="1100" spans="41:41" x14ac:dyDescent="0.2">
      <c r="AO1100" s="85"/>
    </row>
    <row r="1101" spans="41:41" x14ac:dyDescent="0.2">
      <c r="AO1101" s="85"/>
    </row>
    <row r="1102" spans="41:41" x14ac:dyDescent="0.2">
      <c r="AO1102" s="85"/>
    </row>
    <row r="1103" spans="41:41" x14ac:dyDescent="0.2">
      <c r="AO1103" s="85"/>
    </row>
    <row r="1104" spans="41:41" x14ac:dyDescent="0.2">
      <c r="AO1104" s="85"/>
    </row>
    <row r="1105" spans="41:41" x14ac:dyDescent="0.2">
      <c r="AO1105" s="85"/>
    </row>
    <row r="1106" spans="41:41" x14ac:dyDescent="0.2">
      <c r="AO1106" s="85"/>
    </row>
    <row r="1107" spans="41:41" x14ac:dyDescent="0.2">
      <c r="AO1107" s="85"/>
    </row>
    <row r="1108" spans="41:41" x14ac:dyDescent="0.2">
      <c r="AO1108" s="85"/>
    </row>
    <row r="1109" spans="41:41" x14ac:dyDescent="0.2">
      <c r="AO1109" s="85"/>
    </row>
    <row r="1110" spans="41:41" x14ac:dyDescent="0.2">
      <c r="AO1110" s="85"/>
    </row>
    <row r="1111" spans="41:41" x14ac:dyDescent="0.2">
      <c r="AO1111" s="85"/>
    </row>
    <row r="1112" spans="41:41" x14ac:dyDescent="0.2">
      <c r="AO1112" s="85"/>
    </row>
    <row r="1113" spans="41:41" x14ac:dyDescent="0.2">
      <c r="AO1113" s="85"/>
    </row>
    <row r="1114" spans="41:41" x14ac:dyDescent="0.2">
      <c r="AO1114" s="85"/>
    </row>
    <row r="1115" spans="41:41" x14ac:dyDescent="0.2">
      <c r="AO1115" s="85"/>
    </row>
    <row r="1116" spans="41:41" x14ac:dyDescent="0.2">
      <c r="AO1116" s="85"/>
    </row>
    <row r="1117" spans="41:41" x14ac:dyDescent="0.2">
      <c r="AO1117" s="85"/>
    </row>
    <row r="1118" spans="41:41" x14ac:dyDescent="0.2">
      <c r="AO1118" s="85"/>
    </row>
    <row r="1119" spans="41:41" x14ac:dyDescent="0.2">
      <c r="AO1119" s="85"/>
    </row>
    <row r="1120" spans="41:41" x14ac:dyDescent="0.2">
      <c r="AO1120" s="85"/>
    </row>
    <row r="1121" spans="41:41" x14ac:dyDescent="0.2">
      <c r="AO1121" s="85"/>
    </row>
    <row r="1122" spans="41:41" x14ac:dyDescent="0.2">
      <c r="AO1122" s="85"/>
    </row>
    <row r="1123" spans="41:41" x14ac:dyDescent="0.2">
      <c r="AO1123" s="85"/>
    </row>
    <row r="1124" spans="41:41" x14ac:dyDescent="0.2">
      <c r="AO1124" s="85"/>
    </row>
    <row r="1125" spans="41:41" x14ac:dyDescent="0.2">
      <c r="AO1125" s="85"/>
    </row>
    <row r="1126" spans="41:41" x14ac:dyDescent="0.2">
      <c r="AO1126" s="85"/>
    </row>
    <row r="1127" spans="41:41" x14ac:dyDescent="0.2">
      <c r="AO1127" s="85"/>
    </row>
    <row r="1128" spans="41:41" x14ac:dyDescent="0.2">
      <c r="AO1128" s="85"/>
    </row>
    <row r="1129" spans="41:41" x14ac:dyDescent="0.2">
      <c r="AO1129" s="85"/>
    </row>
    <row r="1130" spans="41:41" x14ac:dyDescent="0.2">
      <c r="AO1130" s="85"/>
    </row>
    <row r="1131" spans="41:41" x14ac:dyDescent="0.2">
      <c r="AO1131" s="85"/>
    </row>
    <row r="1132" spans="41:41" x14ac:dyDescent="0.2">
      <c r="AO1132" s="85"/>
    </row>
    <row r="1133" spans="41:41" x14ac:dyDescent="0.2">
      <c r="AO1133" s="85"/>
    </row>
    <row r="1134" spans="41:41" x14ac:dyDescent="0.2">
      <c r="AO1134" s="85"/>
    </row>
    <row r="1135" spans="41:41" x14ac:dyDescent="0.2">
      <c r="AO1135" s="85"/>
    </row>
    <row r="1136" spans="41:41" x14ac:dyDescent="0.2">
      <c r="AO1136" s="85"/>
    </row>
    <row r="1137" spans="41:41" x14ac:dyDescent="0.2">
      <c r="AO1137" s="85"/>
    </row>
    <row r="1138" spans="41:41" x14ac:dyDescent="0.2">
      <c r="AO1138" s="85"/>
    </row>
    <row r="1139" spans="41:41" x14ac:dyDescent="0.2">
      <c r="AO1139" s="85"/>
    </row>
    <row r="1140" spans="41:41" x14ac:dyDescent="0.2">
      <c r="AO1140" s="85"/>
    </row>
    <row r="1141" spans="41:41" x14ac:dyDescent="0.2">
      <c r="AO1141" s="85"/>
    </row>
    <row r="1142" spans="41:41" x14ac:dyDescent="0.2">
      <c r="AO1142" s="85"/>
    </row>
    <row r="1143" spans="41:41" x14ac:dyDescent="0.2">
      <c r="AO1143" s="85"/>
    </row>
    <row r="1144" spans="41:41" x14ac:dyDescent="0.2">
      <c r="AO1144" s="85"/>
    </row>
    <row r="1145" spans="41:41" x14ac:dyDescent="0.2">
      <c r="AO1145" s="85"/>
    </row>
    <row r="1146" spans="41:41" x14ac:dyDescent="0.2">
      <c r="AO1146" s="85"/>
    </row>
    <row r="1147" spans="41:41" x14ac:dyDescent="0.2">
      <c r="AO1147" s="85"/>
    </row>
    <row r="1148" spans="41:41" x14ac:dyDescent="0.2">
      <c r="AO1148" s="85"/>
    </row>
    <row r="1149" spans="41:41" x14ac:dyDescent="0.2">
      <c r="AO1149" s="85"/>
    </row>
    <row r="1150" spans="41:41" x14ac:dyDescent="0.2">
      <c r="AO1150" s="85"/>
    </row>
    <row r="1151" spans="41:41" x14ac:dyDescent="0.2">
      <c r="AO1151" s="85"/>
    </row>
    <row r="1152" spans="41:41" x14ac:dyDescent="0.2">
      <c r="AO1152" s="85"/>
    </row>
    <row r="1153" spans="41:41" x14ac:dyDescent="0.2">
      <c r="AO1153" s="85"/>
    </row>
    <row r="1154" spans="41:41" x14ac:dyDescent="0.2">
      <c r="AO1154" s="85"/>
    </row>
    <row r="1155" spans="41:41" x14ac:dyDescent="0.2">
      <c r="AO1155" s="85"/>
    </row>
    <row r="1156" spans="41:41" x14ac:dyDescent="0.2">
      <c r="AO1156" s="85"/>
    </row>
    <row r="1157" spans="41:41" x14ac:dyDescent="0.2">
      <c r="AO1157" s="85"/>
    </row>
    <row r="1158" spans="41:41" x14ac:dyDescent="0.2">
      <c r="AO1158" s="85"/>
    </row>
    <row r="1159" spans="41:41" x14ac:dyDescent="0.2">
      <c r="AO1159" s="85"/>
    </row>
    <row r="1160" spans="41:41" x14ac:dyDescent="0.2">
      <c r="AO1160" s="85"/>
    </row>
    <row r="1161" spans="41:41" x14ac:dyDescent="0.2">
      <c r="AO1161" s="85"/>
    </row>
    <row r="1162" spans="41:41" x14ac:dyDescent="0.2">
      <c r="AO1162" s="85"/>
    </row>
    <row r="1163" spans="41:41" x14ac:dyDescent="0.2">
      <c r="AO1163" s="85"/>
    </row>
    <row r="1164" spans="41:41" x14ac:dyDescent="0.2">
      <c r="AO1164" s="85"/>
    </row>
    <row r="1165" spans="41:41" x14ac:dyDescent="0.2">
      <c r="AO1165" s="85"/>
    </row>
    <row r="1166" spans="41:41" x14ac:dyDescent="0.2">
      <c r="AO1166" s="85"/>
    </row>
    <row r="1167" spans="41:41" x14ac:dyDescent="0.2">
      <c r="AO1167" s="85"/>
    </row>
    <row r="1168" spans="41:41" x14ac:dyDescent="0.2">
      <c r="AO1168" s="85"/>
    </row>
    <row r="1169" spans="41:41" x14ac:dyDescent="0.2">
      <c r="AO1169" s="85"/>
    </row>
    <row r="1170" spans="41:41" x14ac:dyDescent="0.2">
      <c r="AO1170" s="85"/>
    </row>
    <row r="1171" spans="41:41" x14ac:dyDescent="0.2">
      <c r="AO1171" s="85"/>
    </row>
    <row r="1172" spans="41:41" x14ac:dyDescent="0.2">
      <c r="AO1172" s="85"/>
    </row>
    <row r="1173" spans="41:41" x14ac:dyDescent="0.2">
      <c r="AO1173" s="85"/>
    </row>
    <row r="1174" spans="41:41" x14ac:dyDescent="0.2">
      <c r="AO1174" s="85"/>
    </row>
    <row r="1175" spans="41:41" x14ac:dyDescent="0.2">
      <c r="AO1175" s="85"/>
    </row>
    <row r="1176" spans="41:41" x14ac:dyDescent="0.2">
      <c r="AO1176" s="85"/>
    </row>
    <row r="1177" spans="41:41" x14ac:dyDescent="0.2">
      <c r="AO1177" s="85"/>
    </row>
    <row r="1178" spans="41:41" x14ac:dyDescent="0.2">
      <c r="AO1178" s="85"/>
    </row>
    <row r="1179" spans="41:41" x14ac:dyDescent="0.2">
      <c r="AO1179" s="85"/>
    </row>
    <row r="1180" spans="41:41" x14ac:dyDescent="0.2">
      <c r="AO1180" s="85"/>
    </row>
    <row r="1181" spans="41:41" x14ac:dyDescent="0.2">
      <c r="AO1181" s="85"/>
    </row>
    <row r="1182" spans="41:41" x14ac:dyDescent="0.2">
      <c r="AO1182" s="85"/>
    </row>
    <row r="1183" spans="41:41" x14ac:dyDescent="0.2">
      <c r="AO1183" s="85"/>
    </row>
    <row r="1184" spans="41:41" x14ac:dyDescent="0.2">
      <c r="AO1184" s="85"/>
    </row>
    <row r="1185" spans="41:41" x14ac:dyDescent="0.2">
      <c r="AO1185" s="85"/>
    </row>
    <row r="1186" spans="41:41" x14ac:dyDescent="0.2">
      <c r="AO1186" s="85"/>
    </row>
    <row r="1187" spans="41:41" x14ac:dyDescent="0.2">
      <c r="AO1187" s="85"/>
    </row>
    <row r="1188" spans="41:41" x14ac:dyDescent="0.2">
      <c r="AO1188" s="85"/>
    </row>
    <row r="1189" spans="41:41" x14ac:dyDescent="0.2">
      <c r="AO1189" s="85"/>
    </row>
    <row r="1190" spans="41:41" x14ac:dyDescent="0.2">
      <c r="AO1190" s="85"/>
    </row>
    <row r="1191" spans="41:41" x14ac:dyDescent="0.2">
      <c r="AO1191" s="85"/>
    </row>
    <row r="1192" spans="41:41" x14ac:dyDescent="0.2">
      <c r="AO1192" s="85"/>
    </row>
    <row r="1193" spans="41:41" x14ac:dyDescent="0.2">
      <c r="AO1193" s="85"/>
    </row>
    <row r="1194" spans="41:41" x14ac:dyDescent="0.2">
      <c r="AO1194" s="85"/>
    </row>
    <row r="1195" spans="41:41" x14ac:dyDescent="0.2">
      <c r="AO1195" s="85"/>
    </row>
    <row r="1196" spans="41:41" x14ac:dyDescent="0.2">
      <c r="AO1196" s="85"/>
    </row>
    <row r="1197" spans="41:41" x14ac:dyDescent="0.2">
      <c r="AO1197" s="85"/>
    </row>
    <row r="1198" spans="41:41" x14ac:dyDescent="0.2">
      <c r="AO1198" s="85"/>
    </row>
    <row r="1199" spans="41:41" x14ac:dyDescent="0.2">
      <c r="AO1199" s="85"/>
    </row>
    <row r="1200" spans="41:41" x14ac:dyDescent="0.2">
      <c r="AO1200" s="85"/>
    </row>
    <row r="1201" spans="41:41" x14ac:dyDescent="0.2">
      <c r="AO1201" s="85"/>
    </row>
    <row r="1202" spans="41:41" x14ac:dyDescent="0.2">
      <c r="AO1202" s="85"/>
    </row>
    <row r="1203" spans="41:41" x14ac:dyDescent="0.2">
      <c r="AO1203" s="85"/>
    </row>
    <row r="1204" spans="41:41" x14ac:dyDescent="0.2">
      <c r="AO1204" s="85"/>
    </row>
    <row r="1205" spans="41:41" x14ac:dyDescent="0.2">
      <c r="AO1205" s="85"/>
    </row>
    <row r="1206" spans="41:41" x14ac:dyDescent="0.2">
      <c r="AO1206" s="85"/>
    </row>
    <row r="1207" spans="41:41" x14ac:dyDescent="0.2">
      <c r="AO1207" s="85"/>
    </row>
    <row r="1208" spans="41:41" x14ac:dyDescent="0.2">
      <c r="AO1208" s="85"/>
    </row>
    <row r="1209" spans="41:41" x14ac:dyDescent="0.2">
      <c r="AO1209" s="85"/>
    </row>
    <row r="1210" spans="41:41" x14ac:dyDescent="0.2">
      <c r="AO1210" s="85"/>
    </row>
    <row r="1211" spans="41:41" x14ac:dyDescent="0.2">
      <c r="AO1211" s="85"/>
    </row>
    <row r="1212" spans="41:41" x14ac:dyDescent="0.2">
      <c r="AO1212" s="85"/>
    </row>
    <row r="1213" spans="41:41" x14ac:dyDescent="0.2">
      <c r="AO1213" s="85"/>
    </row>
    <row r="1214" spans="41:41" x14ac:dyDescent="0.2">
      <c r="AO1214" s="85"/>
    </row>
    <row r="1215" spans="41:41" x14ac:dyDescent="0.2">
      <c r="AO1215" s="85"/>
    </row>
    <row r="1216" spans="41:41" x14ac:dyDescent="0.2">
      <c r="AO1216" s="85"/>
    </row>
    <row r="1217" spans="41:41" x14ac:dyDescent="0.2">
      <c r="AO1217" s="85"/>
    </row>
    <row r="1218" spans="41:41" x14ac:dyDescent="0.2">
      <c r="AO1218" s="85"/>
    </row>
    <row r="1219" spans="41:41" x14ac:dyDescent="0.2">
      <c r="AO1219" s="85"/>
    </row>
    <row r="1220" spans="41:41" x14ac:dyDescent="0.2">
      <c r="AO1220" s="85"/>
    </row>
    <row r="1221" spans="41:41" x14ac:dyDescent="0.2">
      <c r="AO1221" s="85"/>
    </row>
    <row r="1222" spans="41:41" x14ac:dyDescent="0.2">
      <c r="AO1222" s="85"/>
    </row>
    <row r="1223" spans="41:41" x14ac:dyDescent="0.2">
      <c r="AO1223" s="85"/>
    </row>
    <row r="1224" spans="41:41" x14ac:dyDescent="0.2">
      <c r="AO1224" s="85"/>
    </row>
    <row r="1225" spans="41:41" x14ac:dyDescent="0.2">
      <c r="AO1225" s="85"/>
    </row>
    <row r="1226" spans="41:41" x14ac:dyDescent="0.2">
      <c r="AO1226" s="85"/>
    </row>
    <row r="1227" spans="41:41" x14ac:dyDescent="0.2">
      <c r="AO1227" s="85"/>
    </row>
    <row r="1228" spans="41:41" x14ac:dyDescent="0.2">
      <c r="AO1228" s="85"/>
    </row>
    <row r="1229" spans="41:41" x14ac:dyDescent="0.2">
      <c r="AO1229" s="85"/>
    </row>
    <row r="1230" spans="41:41" x14ac:dyDescent="0.2">
      <c r="AO1230" s="85"/>
    </row>
    <row r="1231" spans="41:41" x14ac:dyDescent="0.2">
      <c r="AO1231" s="85"/>
    </row>
    <row r="1232" spans="41:41" x14ac:dyDescent="0.2">
      <c r="AO1232" s="85"/>
    </row>
    <row r="1233" spans="41:41" x14ac:dyDescent="0.2">
      <c r="AO1233" s="85"/>
    </row>
    <row r="1234" spans="41:41" x14ac:dyDescent="0.2">
      <c r="AO1234" s="85"/>
    </row>
    <row r="1235" spans="41:41" x14ac:dyDescent="0.2">
      <c r="AO1235" s="85"/>
    </row>
    <row r="1236" spans="41:41" x14ac:dyDescent="0.2">
      <c r="AO1236" s="85"/>
    </row>
    <row r="1237" spans="41:41" x14ac:dyDescent="0.2">
      <c r="AO1237" s="85"/>
    </row>
    <row r="1238" spans="41:41" x14ac:dyDescent="0.2">
      <c r="AO1238" s="85"/>
    </row>
    <row r="1239" spans="41:41" x14ac:dyDescent="0.2">
      <c r="AO1239" s="85"/>
    </row>
    <row r="1240" spans="41:41" x14ac:dyDescent="0.2">
      <c r="AO1240" s="85"/>
    </row>
    <row r="1241" spans="41:41" x14ac:dyDescent="0.2">
      <c r="AO1241" s="85"/>
    </row>
    <row r="1242" spans="41:41" x14ac:dyDescent="0.2">
      <c r="AO1242" s="85"/>
    </row>
    <row r="1243" spans="41:41" x14ac:dyDescent="0.2">
      <c r="AO1243" s="85"/>
    </row>
    <row r="1244" spans="41:41" x14ac:dyDescent="0.2">
      <c r="AO1244" s="85"/>
    </row>
    <row r="1245" spans="41:41" x14ac:dyDescent="0.2">
      <c r="AO1245" s="85"/>
    </row>
    <row r="1246" spans="41:41" x14ac:dyDescent="0.2">
      <c r="AO1246" s="85"/>
    </row>
    <row r="1247" spans="41:41" x14ac:dyDescent="0.2">
      <c r="AO1247" s="85"/>
    </row>
    <row r="1248" spans="41:41" x14ac:dyDescent="0.2">
      <c r="AO1248" s="85"/>
    </row>
    <row r="1249" spans="41:41" x14ac:dyDescent="0.2">
      <c r="AO1249" s="85"/>
    </row>
    <row r="1250" spans="41:41" x14ac:dyDescent="0.2">
      <c r="AO1250" s="85"/>
    </row>
    <row r="1251" spans="41:41" x14ac:dyDescent="0.2">
      <c r="AO1251" s="85"/>
    </row>
    <row r="1252" spans="41:41" x14ac:dyDescent="0.2">
      <c r="AO1252" s="85"/>
    </row>
    <row r="1253" spans="41:41" x14ac:dyDescent="0.2">
      <c r="AO1253" s="85"/>
    </row>
    <row r="1254" spans="41:41" x14ac:dyDescent="0.2">
      <c r="AO1254" s="85"/>
    </row>
    <row r="1255" spans="41:41" x14ac:dyDescent="0.2">
      <c r="AO1255" s="85"/>
    </row>
    <row r="1256" spans="41:41" x14ac:dyDescent="0.2">
      <c r="AO1256" s="85"/>
    </row>
    <row r="1257" spans="41:41" x14ac:dyDescent="0.2">
      <c r="AO1257" s="85"/>
    </row>
    <row r="1258" spans="41:41" x14ac:dyDescent="0.2">
      <c r="AO1258" s="85"/>
    </row>
    <row r="1259" spans="41:41" x14ac:dyDescent="0.2">
      <c r="AO1259" s="85"/>
    </row>
    <row r="1260" spans="41:41" x14ac:dyDescent="0.2">
      <c r="AO1260" s="85"/>
    </row>
    <row r="1261" spans="41:41" x14ac:dyDescent="0.2">
      <c r="AO1261" s="85"/>
    </row>
    <row r="1262" spans="41:41" x14ac:dyDescent="0.2">
      <c r="AO1262" s="85"/>
    </row>
    <row r="1263" spans="41:41" x14ac:dyDescent="0.2">
      <c r="AO1263" s="85"/>
    </row>
    <row r="1264" spans="41:41" x14ac:dyDescent="0.2">
      <c r="AO1264" s="85"/>
    </row>
    <row r="1265" spans="41:41" x14ac:dyDescent="0.2">
      <c r="AO1265" s="85"/>
    </row>
    <row r="1266" spans="41:41" x14ac:dyDescent="0.2">
      <c r="AO1266" s="85"/>
    </row>
    <row r="1267" spans="41:41" x14ac:dyDescent="0.2">
      <c r="AO1267" s="85"/>
    </row>
    <row r="1268" spans="41:41" x14ac:dyDescent="0.2">
      <c r="AO1268" s="85"/>
    </row>
    <row r="1269" spans="41:41" x14ac:dyDescent="0.2">
      <c r="AO1269" s="85"/>
    </row>
    <row r="1270" spans="41:41" x14ac:dyDescent="0.2">
      <c r="AO1270" s="85"/>
    </row>
    <row r="1271" spans="41:41" x14ac:dyDescent="0.2">
      <c r="AO1271" s="85"/>
    </row>
    <row r="1272" spans="41:41" x14ac:dyDescent="0.2">
      <c r="AO1272" s="85"/>
    </row>
    <row r="1273" spans="41:41" x14ac:dyDescent="0.2">
      <c r="AO1273" s="85"/>
    </row>
    <row r="1274" spans="41:41" x14ac:dyDescent="0.2">
      <c r="AO1274" s="85"/>
    </row>
    <row r="1275" spans="41:41" x14ac:dyDescent="0.2">
      <c r="AO1275" s="85"/>
    </row>
    <row r="1276" spans="41:41" x14ac:dyDescent="0.2">
      <c r="AO1276" s="85"/>
    </row>
    <row r="1277" spans="41:41" x14ac:dyDescent="0.2">
      <c r="AO1277" s="85"/>
    </row>
    <row r="1278" spans="41:41" x14ac:dyDescent="0.2">
      <c r="AO1278" s="85"/>
    </row>
    <row r="1279" spans="41:41" x14ac:dyDescent="0.2">
      <c r="AO1279" s="85"/>
    </row>
    <row r="1280" spans="41:41" x14ac:dyDescent="0.2">
      <c r="AO1280" s="85"/>
    </row>
    <row r="1281" spans="41:41" x14ac:dyDescent="0.2">
      <c r="AO1281" s="85"/>
    </row>
    <row r="1282" spans="41:41" x14ac:dyDescent="0.2">
      <c r="AO1282" s="85"/>
    </row>
    <row r="1283" spans="41:41" x14ac:dyDescent="0.2">
      <c r="AO1283" s="85"/>
    </row>
    <row r="1284" spans="41:41" x14ac:dyDescent="0.2">
      <c r="AO1284" s="85"/>
    </row>
    <row r="1285" spans="41:41" x14ac:dyDescent="0.2">
      <c r="AO1285" s="85"/>
    </row>
    <row r="1286" spans="41:41" x14ac:dyDescent="0.2">
      <c r="AO1286" s="85"/>
    </row>
    <row r="1287" spans="41:41" x14ac:dyDescent="0.2">
      <c r="AO1287" s="85"/>
    </row>
    <row r="1288" spans="41:41" x14ac:dyDescent="0.2">
      <c r="AO1288" s="85"/>
    </row>
    <row r="1289" spans="41:41" x14ac:dyDescent="0.2">
      <c r="AO1289" s="85"/>
    </row>
    <row r="1290" spans="41:41" x14ac:dyDescent="0.2">
      <c r="AO1290" s="85"/>
    </row>
    <row r="1291" spans="41:41" x14ac:dyDescent="0.2">
      <c r="AO1291" s="85"/>
    </row>
    <row r="1292" spans="41:41" x14ac:dyDescent="0.2">
      <c r="AO1292" s="85"/>
    </row>
    <row r="1293" spans="41:41" x14ac:dyDescent="0.2">
      <c r="AO1293" s="85"/>
    </row>
    <row r="1294" spans="41:41" x14ac:dyDescent="0.2">
      <c r="AO1294" s="85"/>
    </row>
    <row r="1295" spans="41:41" x14ac:dyDescent="0.2">
      <c r="AO1295" s="85"/>
    </row>
    <row r="1296" spans="41:41" x14ac:dyDescent="0.2">
      <c r="AO1296" s="85"/>
    </row>
    <row r="1297" spans="41:41" x14ac:dyDescent="0.2">
      <c r="AO1297" s="85"/>
    </row>
    <row r="1298" spans="41:41" x14ac:dyDescent="0.2">
      <c r="AO1298" s="85"/>
    </row>
    <row r="1299" spans="41:41" x14ac:dyDescent="0.2">
      <c r="AO1299" s="85"/>
    </row>
    <row r="1300" spans="41:41" x14ac:dyDescent="0.2">
      <c r="AO1300" s="85"/>
    </row>
    <row r="1301" spans="41:41" x14ac:dyDescent="0.2">
      <c r="AO1301" s="85"/>
    </row>
    <row r="1302" spans="41:41" x14ac:dyDescent="0.2">
      <c r="AO1302" s="85"/>
    </row>
    <row r="1303" spans="41:41" x14ac:dyDescent="0.2">
      <c r="AO1303" s="85"/>
    </row>
    <row r="1304" spans="41:41" x14ac:dyDescent="0.2">
      <c r="AO1304" s="85"/>
    </row>
    <row r="1305" spans="41:41" x14ac:dyDescent="0.2">
      <c r="AO1305" s="85"/>
    </row>
    <row r="1306" spans="41:41" x14ac:dyDescent="0.2">
      <c r="AO1306" s="85"/>
    </row>
    <row r="1307" spans="41:41" x14ac:dyDescent="0.2">
      <c r="AO1307" s="85"/>
    </row>
    <row r="1308" spans="41:41" x14ac:dyDescent="0.2">
      <c r="AO1308" s="85"/>
    </row>
    <row r="1309" spans="41:41" x14ac:dyDescent="0.2">
      <c r="AO1309" s="85"/>
    </row>
    <row r="1310" spans="41:41" x14ac:dyDescent="0.2">
      <c r="AO1310" s="85"/>
    </row>
    <row r="1311" spans="41:41" x14ac:dyDescent="0.2">
      <c r="AO1311" s="85"/>
    </row>
    <row r="1312" spans="41:41" x14ac:dyDescent="0.2">
      <c r="AO1312" s="85"/>
    </row>
    <row r="1313" spans="41:41" x14ac:dyDescent="0.2">
      <c r="AO1313" s="85"/>
    </row>
    <row r="1314" spans="41:41" x14ac:dyDescent="0.2">
      <c r="AO1314" s="85"/>
    </row>
    <row r="1315" spans="41:41" x14ac:dyDescent="0.2">
      <c r="AO1315" s="85"/>
    </row>
    <row r="1316" spans="41:41" x14ac:dyDescent="0.2">
      <c r="AO1316" s="85"/>
    </row>
    <row r="1317" spans="41:41" x14ac:dyDescent="0.2">
      <c r="AO1317" s="85"/>
    </row>
    <row r="1318" spans="41:41" x14ac:dyDescent="0.2">
      <c r="AO1318" s="85"/>
    </row>
    <row r="1319" spans="41:41" x14ac:dyDescent="0.2">
      <c r="AO1319" s="85"/>
    </row>
    <row r="1320" spans="41:41" x14ac:dyDescent="0.2">
      <c r="AO1320" s="85"/>
    </row>
    <row r="1321" spans="41:41" x14ac:dyDescent="0.2">
      <c r="AO1321" s="85"/>
    </row>
    <row r="1322" spans="41:41" x14ac:dyDescent="0.2">
      <c r="AO1322" s="85"/>
    </row>
    <row r="1323" spans="41:41" x14ac:dyDescent="0.2">
      <c r="AO1323" s="85"/>
    </row>
    <row r="1324" spans="41:41" x14ac:dyDescent="0.2">
      <c r="AO1324" s="85"/>
    </row>
    <row r="1325" spans="41:41" x14ac:dyDescent="0.2">
      <c r="AO1325" s="85"/>
    </row>
    <row r="1326" spans="41:41" x14ac:dyDescent="0.2">
      <c r="AO1326" s="85"/>
    </row>
    <row r="1327" spans="41:41" x14ac:dyDescent="0.2">
      <c r="AO1327" s="85"/>
    </row>
    <row r="1328" spans="41:41" x14ac:dyDescent="0.2">
      <c r="AO1328" s="85"/>
    </row>
    <row r="1329" spans="41:41" x14ac:dyDescent="0.2">
      <c r="AO1329" s="85"/>
    </row>
    <row r="1330" spans="41:41" x14ac:dyDescent="0.2">
      <c r="AO1330" s="85"/>
    </row>
    <row r="1331" spans="41:41" x14ac:dyDescent="0.2">
      <c r="AO1331" s="85"/>
    </row>
    <row r="1332" spans="41:41" x14ac:dyDescent="0.2">
      <c r="AO1332" s="85"/>
    </row>
    <row r="1333" spans="41:41" x14ac:dyDescent="0.2">
      <c r="AO1333" s="85"/>
    </row>
    <row r="1334" spans="41:41" x14ac:dyDescent="0.2">
      <c r="AO1334" s="85"/>
    </row>
    <row r="1335" spans="41:41" x14ac:dyDescent="0.2">
      <c r="AO1335" s="85"/>
    </row>
    <row r="1336" spans="41:41" x14ac:dyDescent="0.2">
      <c r="AO1336" s="85"/>
    </row>
    <row r="1337" spans="41:41" x14ac:dyDescent="0.2">
      <c r="AO1337" s="85"/>
    </row>
    <row r="1338" spans="41:41" x14ac:dyDescent="0.2">
      <c r="AO1338" s="85"/>
    </row>
    <row r="1339" spans="41:41" x14ac:dyDescent="0.2">
      <c r="AO1339" s="85"/>
    </row>
    <row r="1340" spans="41:41" x14ac:dyDescent="0.2">
      <c r="AO1340" s="85"/>
    </row>
    <row r="1341" spans="41:41" x14ac:dyDescent="0.2">
      <c r="AO1341" s="85"/>
    </row>
    <row r="1342" spans="41:41" x14ac:dyDescent="0.2">
      <c r="AO1342" s="85"/>
    </row>
    <row r="1343" spans="41:41" x14ac:dyDescent="0.2">
      <c r="AO1343" s="85"/>
    </row>
    <row r="1344" spans="41:41" x14ac:dyDescent="0.2">
      <c r="AO1344" s="85"/>
    </row>
    <row r="1345" spans="41:41" x14ac:dyDescent="0.2">
      <c r="AO1345" s="85"/>
    </row>
    <row r="1346" spans="41:41" x14ac:dyDescent="0.2">
      <c r="AO1346" s="85"/>
    </row>
    <row r="1347" spans="41:41" x14ac:dyDescent="0.2">
      <c r="AO1347" s="85"/>
    </row>
    <row r="1348" spans="41:41" x14ac:dyDescent="0.2">
      <c r="AO1348" s="85"/>
    </row>
    <row r="1349" spans="41:41" x14ac:dyDescent="0.2">
      <c r="AO1349" s="85"/>
    </row>
    <row r="1350" spans="41:41" x14ac:dyDescent="0.2">
      <c r="AO1350" s="85"/>
    </row>
    <row r="1351" spans="41:41" x14ac:dyDescent="0.2">
      <c r="AO1351" s="85"/>
    </row>
    <row r="1352" spans="41:41" x14ac:dyDescent="0.2">
      <c r="AO1352" s="85"/>
    </row>
    <row r="1353" spans="41:41" x14ac:dyDescent="0.2">
      <c r="AO1353" s="85"/>
    </row>
    <row r="1354" spans="41:41" x14ac:dyDescent="0.2">
      <c r="AO1354" s="85"/>
    </row>
    <row r="1355" spans="41:41" x14ac:dyDescent="0.2">
      <c r="AO1355" s="85"/>
    </row>
    <row r="1356" spans="41:41" x14ac:dyDescent="0.2">
      <c r="AO1356" s="85"/>
    </row>
    <row r="1357" spans="41:41" x14ac:dyDescent="0.2">
      <c r="AO1357" s="85"/>
    </row>
    <row r="1358" spans="41:41" x14ac:dyDescent="0.2">
      <c r="AO1358" s="85"/>
    </row>
    <row r="1359" spans="41:41" x14ac:dyDescent="0.2">
      <c r="AO1359" s="85"/>
    </row>
    <row r="1360" spans="41:41" x14ac:dyDescent="0.2">
      <c r="AO1360" s="85"/>
    </row>
    <row r="1361" spans="41:41" x14ac:dyDescent="0.2">
      <c r="AO1361" s="85"/>
    </row>
    <row r="1362" spans="41:41" x14ac:dyDescent="0.2">
      <c r="AO1362" s="85"/>
    </row>
    <row r="1363" spans="41:41" x14ac:dyDescent="0.2">
      <c r="AO1363" s="85"/>
    </row>
    <row r="1364" spans="41:41" x14ac:dyDescent="0.2">
      <c r="AO1364" s="85"/>
    </row>
    <row r="1365" spans="41:41" x14ac:dyDescent="0.2">
      <c r="AO1365" s="85"/>
    </row>
    <row r="1366" spans="41:41" x14ac:dyDescent="0.2">
      <c r="AO1366" s="85"/>
    </row>
    <row r="1367" spans="41:41" x14ac:dyDescent="0.2">
      <c r="AO1367" s="85"/>
    </row>
    <row r="1368" spans="41:41" x14ac:dyDescent="0.2">
      <c r="AO1368" s="85"/>
    </row>
    <row r="1369" spans="41:41" x14ac:dyDescent="0.2">
      <c r="AO1369" s="85"/>
    </row>
    <row r="1370" spans="41:41" x14ac:dyDescent="0.2">
      <c r="AO1370" s="85"/>
    </row>
    <row r="1371" spans="41:41" x14ac:dyDescent="0.2">
      <c r="AO1371" s="85"/>
    </row>
    <row r="1372" spans="41:41" x14ac:dyDescent="0.2">
      <c r="AO1372" s="85"/>
    </row>
    <row r="1373" spans="41:41" x14ac:dyDescent="0.2">
      <c r="AO1373" s="85"/>
    </row>
    <row r="1374" spans="41:41" x14ac:dyDescent="0.2">
      <c r="AO1374" s="85"/>
    </row>
    <row r="1375" spans="41:41" x14ac:dyDescent="0.2">
      <c r="AO1375" s="85"/>
    </row>
    <row r="1376" spans="41:41" x14ac:dyDescent="0.2">
      <c r="AO1376" s="85"/>
    </row>
    <row r="1377" spans="41:41" x14ac:dyDescent="0.2">
      <c r="AO1377" s="85"/>
    </row>
    <row r="1378" spans="41:41" x14ac:dyDescent="0.2">
      <c r="AO1378" s="85"/>
    </row>
    <row r="1379" spans="41:41" x14ac:dyDescent="0.2">
      <c r="AO1379" s="85"/>
    </row>
    <row r="1380" spans="41:41" x14ac:dyDescent="0.2">
      <c r="AO1380" s="85"/>
    </row>
    <row r="1381" spans="41:41" x14ac:dyDescent="0.2">
      <c r="AO1381" s="85"/>
    </row>
    <row r="1382" spans="41:41" x14ac:dyDescent="0.2">
      <c r="AO1382" s="85"/>
    </row>
    <row r="1383" spans="41:41" x14ac:dyDescent="0.2">
      <c r="AO1383" s="85"/>
    </row>
    <row r="1384" spans="41:41" x14ac:dyDescent="0.2">
      <c r="AO1384" s="85"/>
    </row>
    <row r="1385" spans="41:41" x14ac:dyDescent="0.2">
      <c r="AO1385" s="85"/>
    </row>
    <row r="1386" spans="41:41" x14ac:dyDescent="0.2">
      <c r="AO1386" s="85"/>
    </row>
    <row r="1387" spans="41:41" x14ac:dyDescent="0.2">
      <c r="AO1387" s="85"/>
    </row>
    <row r="1388" spans="41:41" x14ac:dyDescent="0.2">
      <c r="AO1388" s="85"/>
    </row>
    <row r="1389" spans="41:41" x14ac:dyDescent="0.2">
      <c r="AO1389" s="85"/>
    </row>
    <row r="1390" spans="41:41" x14ac:dyDescent="0.2">
      <c r="AO1390" s="85"/>
    </row>
    <row r="1391" spans="41:41" x14ac:dyDescent="0.2">
      <c r="AO1391" s="85"/>
    </row>
    <row r="1392" spans="41:41" x14ac:dyDescent="0.2">
      <c r="AO1392" s="85"/>
    </row>
    <row r="1393" spans="41:41" x14ac:dyDescent="0.2">
      <c r="AO1393" s="85"/>
    </row>
    <row r="1394" spans="41:41" x14ac:dyDescent="0.2">
      <c r="AO1394" s="85"/>
    </row>
    <row r="1395" spans="41:41" x14ac:dyDescent="0.2">
      <c r="AO1395" s="85"/>
    </row>
    <row r="1396" spans="41:41" x14ac:dyDescent="0.2">
      <c r="AO1396" s="85"/>
    </row>
    <row r="1397" spans="41:41" x14ac:dyDescent="0.2">
      <c r="AO1397" s="85"/>
    </row>
    <row r="1398" spans="41:41" x14ac:dyDescent="0.2">
      <c r="AO1398" s="85"/>
    </row>
    <row r="1399" spans="41:41" x14ac:dyDescent="0.2">
      <c r="AO1399" s="85"/>
    </row>
    <row r="1400" spans="41:41" x14ac:dyDescent="0.2">
      <c r="AO1400" s="85"/>
    </row>
    <row r="1401" spans="41:41" x14ac:dyDescent="0.2">
      <c r="AO1401" s="85"/>
    </row>
    <row r="1402" spans="41:41" x14ac:dyDescent="0.2">
      <c r="AO1402" s="85"/>
    </row>
    <row r="1403" spans="41:41" x14ac:dyDescent="0.2">
      <c r="AO1403" s="85"/>
    </row>
    <row r="1404" spans="41:41" x14ac:dyDescent="0.2">
      <c r="AO1404" s="85"/>
    </row>
    <row r="1405" spans="41:41" x14ac:dyDescent="0.2">
      <c r="AO1405" s="85"/>
    </row>
    <row r="1406" spans="41:41" x14ac:dyDescent="0.2">
      <c r="AO1406" s="85"/>
    </row>
    <row r="1407" spans="41:41" x14ac:dyDescent="0.2">
      <c r="AO1407" s="85"/>
    </row>
    <row r="1408" spans="41:41" x14ac:dyDescent="0.2">
      <c r="AO1408" s="85"/>
    </row>
    <row r="1409" spans="41:41" x14ac:dyDescent="0.2">
      <c r="AO1409" s="85"/>
    </row>
    <row r="1410" spans="41:41" x14ac:dyDescent="0.2">
      <c r="AO1410" s="85"/>
    </row>
    <row r="1411" spans="41:41" x14ac:dyDescent="0.2">
      <c r="AO1411" s="85"/>
    </row>
    <row r="1412" spans="41:41" x14ac:dyDescent="0.2">
      <c r="AO1412" s="85"/>
    </row>
    <row r="1413" spans="41:41" x14ac:dyDescent="0.2">
      <c r="AO1413" s="85"/>
    </row>
    <row r="1414" spans="41:41" x14ac:dyDescent="0.2">
      <c r="AO1414" s="85"/>
    </row>
    <row r="1415" spans="41:41" x14ac:dyDescent="0.2">
      <c r="AO1415" s="85"/>
    </row>
    <row r="1416" spans="41:41" x14ac:dyDescent="0.2">
      <c r="AO1416" s="85"/>
    </row>
    <row r="1417" spans="41:41" x14ac:dyDescent="0.2">
      <c r="AO1417" s="85"/>
    </row>
    <row r="1418" spans="41:41" x14ac:dyDescent="0.2">
      <c r="AO1418" s="85"/>
    </row>
    <row r="1419" spans="41:41" x14ac:dyDescent="0.2">
      <c r="AO1419" s="85"/>
    </row>
    <row r="1420" spans="41:41" x14ac:dyDescent="0.2">
      <c r="AO1420" s="85"/>
    </row>
    <row r="1421" spans="41:41" x14ac:dyDescent="0.2">
      <c r="AO1421" s="85"/>
    </row>
    <row r="1422" spans="41:41" x14ac:dyDescent="0.2">
      <c r="AO1422" s="85"/>
    </row>
    <row r="1423" spans="41:41" x14ac:dyDescent="0.2">
      <c r="AO1423" s="85"/>
    </row>
    <row r="1424" spans="41:41" x14ac:dyDescent="0.2">
      <c r="AO1424" s="85"/>
    </row>
    <row r="1425" spans="41:41" x14ac:dyDescent="0.2">
      <c r="AO1425" s="85"/>
    </row>
    <row r="1426" spans="41:41" x14ac:dyDescent="0.2">
      <c r="AO1426" s="85"/>
    </row>
    <row r="1427" spans="41:41" x14ac:dyDescent="0.2">
      <c r="AO1427" s="85"/>
    </row>
    <row r="1428" spans="41:41" x14ac:dyDescent="0.2">
      <c r="AO1428" s="85"/>
    </row>
    <row r="1429" spans="41:41" x14ac:dyDescent="0.2">
      <c r="AO1429" s="85"/>
    </row>
    <row r="1430" spans="41:41" x14ac:dyDescent="0.2">
      <c r="AO1430" s="85"/>
    </row>
    <row r="1431" spans="41:41" x14ac:dyDescent="0.2">
      <c r="AO1431" s="85"/>
    </row>
    <row r="1432" spans="41:41" x14ac:dyDescent="0.2">
      <c r="AO1432" s="85"/>
    </row>
    <row r="1433" spans="41:41" x14ac:dyDescent="0.2">
      <c r="AO1433" s="85"/>
    </row>
    <row r="1434" spans="41:41" x14ac:dyDescent="0.2">
      <c r="AO1434" s="85"/>
    </row>
    <row r="1435" spans="41:41" x14ac:dyDescent="0.2">
      <c r="AO1435" s="85"/>
    </row>
    <row r="1436" spans="41:41" x14ac:dyDescent="0.2">
      <c r="AO1436" s="85"/>
    </row>
    <row r="1437" spans="41:41" x14ac:dyDescent="0.2">
      <c r="AO1437" s="85"/>
    </row>
    <row r="1438" spans="41:41" x14ac:dyDescent="0.2">
      <c r="AO1438" s="85"/>
    </row>
    <row r="1439" spans="41:41" x14ac:dyDescent="0.2">
      <c r="AO1439" s="85"/>
    </row>
    <row r="1440" spans="41:41" x14ac:dyDescent="0.2">
      <c r="AO1440" s="85"/>
    </row>
    <row r="1441" spans="41:41" x14ac:dyDescent="0.2">
      <c r="AO1441" s="85"/>
    </row>
    <row r="1442" spans="41:41" x14ac:dyDescent="0.2">
      <c r="AO1442" s="85"/>
    </row>
    <row r="1443" spans="41:41" x14ac:dyDescent="0.2">
      <c r="AO1443" s="85"/>
    </row>
    <row r="1444" spans="41:41" x14ac:dyDescent="0.2">
      <c r="AO1444" s="85"/>
    </row>
    <row r="1445" spans="41:41" x14ac:dyDescent="0.2">
      <c r="AO1445" s="85"/>
    </row>
    <row r="1446" spans="41:41" x14ac:dyDescent="0.2">
      <c r="AO1446" s="85"/>
    </row>
    <row r="1447" spans="41:41" x14ac:dyDescent="0.2">
      <c r="AO1447" s="85"/>
    </row>
    <row r="1448" spans="41:41" x14ac:dyDescent="0.2">
      <c r="AO1448" s="85"/>
    </row>
    <row r="1449" spans="41:41" x14ac:dyDescent="0.2">
      <c r="AO1449" s="85"/>
    </row>
    <row r="1450" spans="41:41" x14ac:dyDescent="0.2">
      <c r="AO1450" s="85"/>
    </row>
    <row r="1451" spans="41:41" x14ac:dyDescent="0.2">
      <c r="AO1451" s="85"/>
    </row>
    <row r="1452" spans="41:41" x14ac:dyDescent="0.2">
      <c r="AO1452" s="85"/>
    </row>
    <row r="1453" spans="41:41" x14ac:dyDescent="0.2">
      <c r="AO1453" s="85"/>
    </row>
    <row r="1454" spans="41:41" x14ac:dyDescent="0.2">
      <c r="AO1454" s="85"/>
    </row>
    <row r="1455" spans="41:41" x14ac:dyDescent="0.2">
      <c r="AO1455" s="85"/>
    </row>
    <row r="1456" spans="41:41" x14ac:dyDescent="0.2">
      <c r="AO1456" s="85"/>
    </row>
    <row r="1457" spans="41:41" x14ac:dyDescent="0.2">
      <c r="AO1457" s="85"/>
    </row>
    <row r="1458" spans="41:41" x14ac:dyDescent="0.2">
      <c r="AO1458" s="85"/>
    </row>
    <row r="1459" spans="41:41" x14ac:dyDescent="0.2">
      <c r="AO1459" s="85"/>
    </row>
    <row r="1460" spans="41:41" x14ac:dyDescent="0.2">
      <c r="AO1460" s="85"/>
    </row>
    <row r="1461" spans="41:41" x14ac:dyDescent="0.2">
      <c r="AO1461" s="85"/>
    </row>
    <row r="1462" spans="41:41" x14ac:dyDescent="0.2">
      <c r="AO1462" s="85"/>
    </row>
    <row r="1463" spans="41:41" x14ac:dyDescent="0.2">
      <c r="AO1463" s="85"/>
    </row>
    <row r="1464" spans="41:41" x14ac:dyDescent="0.2">
      <c r="AO1464" s="85"/>
    </row>
    <row r="1465" spans="41:41" x14ac:dyDescent="0.2">
      <c r="AO1465" s="85"/>
    </row>
    <row r="1466" spans="41:41" x14ac:dyDescent="0.2">
      <c r="AO1466" s="85"/>
    </row>
    <row r="1467" spans="41:41" x14ac:dyDescent="0.2">
      <c r="AO1467" s="85"/>
    </row>
    <row r="1468" spans="41:41" x14ac:dyDescent="0.2">
      <c r="AO1468" s="85"/>
    </row>
    <row r="1469" spans="41:41" x14ac:dyDescent="0.2">
      <c r="AO1469" s="85"/>
    </row>
    <row r="1470" spans="41:41" x14ac:dyDescent="0.2">
      <c r="AO1470" s="85"/>
    </row>
    <row r="1471" spans="41:41" x14ac:dyDescent="0.2">
      <c r="AO1471" s="85"/>
    </row>
    <row r="1472" spans="41:41" x14ac:dyDescent="0.2">
      <c r="AO1472" s="85"/>
    </row>
    <row r="1473" spans="41:41" x14ac:dyDescent="0.2">
      <c r="AO1473" s="85"/>
    </row>
    <row r="1474" spans="41:41" x14ac:dyDescent="0.2">
      <c r="AO1474" s="85"/>
    </row>
    <row r="1475" spans="41:41" x14ac:dyDescent="0.2">
      <c r="AO1475" s="85"/>
    </row>
    <row r="1476" spans="41:41" x14ac:dyDescent="0.2">
      <c r="AO1476" s="85"/>
    </row>
    <row r="1477" spans="41:41" x14ac:dyDescent="0.2">
      <c r="AO1477" s="85"/>
    </row>
    <row r="1478" spans="41:41" x14ac:dyDescent="0.2">
      <c r="AO1478" s="85"/>
    </row>
    <row r="1479" spans="41:41" x14ac:dyDescent="0.2">
      <c r="AO1479" s="85"/>
    </row>
    <row r="1480" spans="41:41" x14ac:dyDescent="0.2">
      <c r="AO1480" s="85"/>
    </row>
    <row r="1481" spans="41:41" x14ac:dyDescent="0.2">
      <c r="AO1481" s="85"/>
    </row>
    <row r="1482" spans="41:41" x14ac:dyDescent="0.2">
      <c r="AO1482" s="85"/>
    </row>
    <row r="1483" spans="41:41" x14ac:dyDescent="0.2">
      <c r="AO1483" s="85"/>
    </row>
    <row r="1484" spans="41:41" x14ac:dyDescent="0.2">
      <c r="AO1484" s="85"/>
    </row>
    <row r="1485" spans="41:41" x14ac:dyDescent="0.2">
      <c r="AO1485" s="85"/>
    </row>
    <row r="1486" spans="41:41" x14ac:dyDescent="0.2">
      <c r="AO1486" s="85"/>
    </row>
    <row r="1487" spans="41:41" x14ac:dyDescent="0.2">
      <c r="AO1487" s="85"/>
    </row>
    <row r="1488" spans="41:41" x14ac:dyDescent="0.2">
      <c r="AO1488" s="85"/>
    </row>
    <row r="1489" spans="41:41" x14ac:dyDescent="0.2">
      <c r="AO1489" s="85"/>
    </row>
    <row r="1490" spans="41:41" x14ac:dyDescent="0.2">
      <c r="AO1490" s="85"/>
    </row>
    <row r="1491" spans="41:41" x14ac:dyDescent="0.2">
      <c r="AO1491" s="85"/>
    </row>
    <row r="1492" spans="41:41" x14ac:dyDescent="0.2">
      <c r="AO1492" s="85"/>
    </row>
    <row r="1493" spans="41:41" x14ac:dyDescent="0.2">
      <c r="AO1493" s="85"/>
    </row>
    <row r="1494" spans="41:41" x14ac:dyDescent="0.2">
      <c r="AO1494" s="85"/>
    </row>
    <row r="1495" spans="41:41" x14ac:dyDescent="0.2">
      <c r="AO1495" s="85"/>
    </row>
    <row r="1496" spans="41:41" x14ac:dyDescent="0.2">
      <c r="AO1496" s="85"/>
    </row>
    <row r="1497" spans="41:41" x14ac:dyDescent="0.2">
      <c r="AO1497" s="85"/>
    </row>
    <row r="1498" spans="41:41" x14ac:dyDescent="0.2">
      <c r="AO1498" s="85"/>
    </row>
    <row r="1499" spans="41:41" x14ac:dyDescent="0.2">
      <c r="AO1499" s="85"/>
    </row>
    <row r="1500" spans="41:41" x14ac:dyDescent="0.2">
      <c r="AO1500" s="85"/>
    </row>
    <row r="1501" spans="41:41" x14ac:dyDescent="0.2">
      <c r="AO1501" s="85"/>
    </row>
    <row r="1502" spans="41:41" x14ac:dyDescent="0.2">
      <c r="AO1502" s="85"/>
    </row>
    <row r="1503" spans="41:41" x14ac:dyDescent="0.2">
      <c r="AO1503" s="85"/>
    </row>
    <row r="1504" spans="41:41" x14ac:dyDescent="0.2">
      <c r="AO1504" s="85"/>
    </row>
    <row r="1505" spans="41:41" x14ac:dyDescent="0.2">
      <c r="AO1505" s="85"/>
    </row>
    <row r="1506" spans="41:41" x14ac:dyDescent="0.2">
      <c r="AO1506" s="85"/>
    </row>
    <row r="1507" spans="41:41" x14ac:dyDescent="0.2">
      <c r="AO1507" s="85"/>
    </row>
    <row r="1508" spans="41:41" x14ac:dyDescent="0.2">
      <c r="AO1508" s="85"/>
    </row>
    <row r="1509" spans="41:41" x14ac:dyDescent="0.2">
      <c r="AO1509" s="85"/>
    </row>
    <row r="1510" spans="41:41" x14ac:dyDescent="0.2">
      <c r="AO1510" s="85"/>
    </row>
    <row r="1511" spans="41:41" x14ac:dyDescent="0.2">
      <c r="AO1511" s="85"/>
    </row>
    <row r="1512" spans="41:41" x14ac:dyDescent="0.2">
      <c r="AO1512" s="85"/>
    </row>
    <row r="1513" spans="41:41" x14ac:dyDescent="0.2">
      <c r="AO1513" s="85"/>
    </row>
    <row r="1514" spans="41:41" x14ac:dyDescent="0.2">
      <c r="AO1514" s="85"/>
    </row>
    <row r="1515" spans="41:41" x14ac:dyDescent="0.2">
      <c r="AO1515" s="85"/>
    </row>
    <row r="1516" spans="41:41" x14ac:dyDescent="0.2">
      <c r="AO1516" s="85"/>
    </row>
    <row r="1517" spans="41:41" x14ac:dyDescent="0.2">
      <c r="AO1517" s="85"/>
    </row>
    <row r="1518" spans="41:41" x14ac:dyDescent="0.2">
      <c r="AO1518" s="85"/>
    </row>
    <row r="1519" spans="41:41" x14ac:dyDescent="0.2">
      <c r="AO1519" s="85"/>
    </row>
    <row r="1520" spans="41:41" x14ac:dyDescent="0.2">
      <c r="AO1520" s="85"/>
    </row>
    <row r="1521" spans="41:41" x14ac:dyDescent="0.2">
      <c r="AO1521" s="85"/>
    </row>
    <row r="1522" spans="41:41" x14ac:dyDescent="0.2">
      <c r="AO1522" s="85"/>
    </row>
    <row r="1523" spans="41:41" x14ac:dyDescent="0.2">
      <c r="AO1523" s="85"/>
    </row>
    <row r="1524" spans="41:41" x14ac:dyDescent="0.2">
      <c r="AO1524" s="85"/>
    </row>
    <row r="1525" spans="41:41" x14ac:dyDescent="0.2">
      <c r="AO1525" s="85"/>
    </row>
    <row r="1526" spans="41:41" x14ac:dyDescent="0.2">
      <c r="AO1526" s="85"/>
    </row>
    <row r="1527" spans="41:41" x14ac:dyDescent="0.2">
      <c r="AO1527" s="85"/>
    </row>
    <row r="1528" spans="41:41" x14ac:dyDescent="0.2">
      <c r="AO1528" s="85"/>
    </row>
    <row r="1529" spans="41:41" x14ac:dyDescent="0.2">
      <c r="AO1529" s="85"/>
    </row>
    <row r="1530" spans="41:41" x14ac:dyDescent="0.2">
      <c r="AO1530" s="85"/>
    </row>
    <row r="1531" spans="41:41" x14ac:dyDescent="0.2">
      <c r="AO1531" s="85"/>
    </row>
    <row r="1532" spans="41:41" x14ac:dyDescent="0.2">
      <c r="AO1532" s="85"/>
    </row>
    <row r="1533" spans="41:41" x14ac:dyDescent="0.2">
      <c r="AO1533" s="85"/>
    </row>
    <row r="1534" spans="41:41" x14ac:dyDescent="0.2">
      <c r="AO1534" s="85"/>
    </row>
    <row r="1535" spans="41:41" x14ac:dyDescent="0.2">
      <c r="AO1535" s="85"/>
    </row>
    <row r="1536" spans="41:41" x14ac:dyDescent="0.2">
      <c r="AO1536" s="85"/>
    </row>
    <row r="1537" spans="41:41" x14ac:dyDescent="0.2">
      <c r="AO1537" s="85"/>
    </row>
    <row r="1538" spans="41:41" x14ac:dyDescent="0.2">
      <c r="AO1538" s="85"/>
    </row>
    <row r="1539" spans="41:41" x14ac:dyDescent="0.2">
      <c r="AO1539" s="85"/>
    </row>
    <row r="1540" spans="41:41" x14ac:dyDescent="0.2">
      <c r="AO1540" s="85"/>
    </row>
    <row r="1541" spans="41:41" x14ac:dyDescent="0.2">
      <c r="AO1541" s="85"/>
    </row>
    <row r="1542" spans="41:41" x14ac:dyDescent="0.2">
      <c r="AO1542" s="85"/>
    </row>
    <row r="1543" spans="41:41" x14ac:dyDescent="0.2">
      <c r="AO1543" s="85"/>
    </row>
    <row r="1544" spans="41:41" x14ac:dyDescent="0.2">
      <c r="AO1544" s="85"/>
    </row>
    <row r="1545" spans="41:41" x14ac:dyDescent="0.2">
      <c r="AO1545" s="85"/>
    </row>
    <row r="1546" spans="41:41" x14ac:dyDescent="0.2">
      <c r="AO1546" s="85"/>
    </row>
    <row r="1547" spans="41:41" x14ac:dyDescent="0.2">
      <c r="AO1547" s="85"/>
    </row>
    <row r="1548" spans="41:41" x14ac:dyDescent="0.2">
      <c r="AO1548" s="85"/>
    </row>
    <row r="1549" spans="41:41" x14ac:dyDescent="0.2">
      <c r="AO1549" s="85"/>
    </row>
    <row r="1550" spans="41:41" x14ac:dyDescent="0.2">
      <c r="AO1550" s="85"/>
    </row>
    <row r="1551" spans="41:41" x14ac:dyDescent="0.2">
      <c r="AO1551" s="85"/>
    </row>
    <row r="1552" spans="41:41" x14ac:dyDescent="0.2">
      <c r="AO1552" s="85"/>
    </row>
    <row r="1553" spans="41:41" x14ac:dyDescent="0.2">
      <c r="AO1553" s="85"/>
    </row>
    <row r="1554" spans="41:41" x14ac:dyDescent="0.2">
      <c r="AO1554" s="85"/>
    </row>
    <row r="1555" spans="41:41" x14ac:dyDescent="0.2">
      <c r="AO1555" s="85"/>
    </row>
    <row r="1556" spans="41:41" x14ac:dyDescent="0.2">
      <c r="AO1556" s="85"/>
    </row>
    <row r="1557" spans="41:41" x14ac:dyDescent="0.2">
      <c r="AO1557" s="85"/>
    </row>
    <row r="1558" spans="41:41" x14ac:dyDescent="0.2">
      <c r="AO1558" s="85"/>
    </row>
    <row r="1559" spans="41:41" x14ac:dyDescent="0.2">
      <c r="AO1559" s="85"/>
    </row>
    <row r="1560" spans="41:41" x14ac:dyDescent="0.2">
      <c r="AO1560" s="85"/>
    </row>
    <row r="1561" spans="41:41" x14ac:dyDescent="0.2">
      <c r="AO1561" s="85"/>
    </row>
    <row r="1562" spans="41:41" x14ac:dyDescent="0.2">
      <c r="AO1562" s="85"/>
    </row>
    <row r="1563" spans="41:41" x14ac:dyDescent="0.2">
      <c r="AO1563" s="85"/>
    </row>
    <row r="1564" spans="41:41" x14ac:dyDescent="0.2">
      <c r="AO1564" s="85"/>
    </row>
    <row r="1565" spans="41:41" x14ac:dyDescent="0.2">
      <c r="AO1565" s="85"/>
    </row>
    <row r="1566" spans="41:41" x14ac:dyDescent="0.2">
      <c r="AO1566" s="85"/>
    </row>
    <row r="1567" spans="41:41" x14ac:dyDescent="0.2">
      <c r="AO1567" s="85"/>
    </row>
    <row r="1568" spans="41:41" x14ac:dyDescent="0.2">
      <c r="AO1568" s="85"/>
    </row>
    <row r="1569" spans="41:41" x14ac:dyDescent="0.2">
      <c r="AO1569" s="85"/>
    </row>
    <row r="1570" spans="41:41" x14ac:dyDescent="0.2">
      <c r="AO1570" s="85"/>
    </row>
    <row r="1571" spans="41:41" x14ac:dyDescent="0.2">
      <c r="AO1571" s="85"/>
    </row>
    <row r="1572" spans="41:41" x14ac:dyDescent="0.2">
      <c r="AO1572" s="85"/>
    </row>
    <row r="1573" spans="41:41" x14ac:dyDescent="0.2">
      <c r="AO1573" s="85"/>
    </row>
    <row r="1574" spans="41:41" x14ac:dyDescent="0.2">
      <c r="AO1574" s="85"/>
    </row>
    <row r="1575" spans="41:41" x14ac:dyDescent="0.2">
      <c r="AO1575" s="85"/>
    </row>
    <row r="1576" spans="41:41" x14ac:dyDescent="0.2">
      <c r="AO1576" s="85"/>
    </row>
    <row r="1577" spans="41:41" x14ac:dyDescent="0.2">
      <c r="AO1577" s="85"/>
    </row>
    <row r="1578" spans="41:41" x14ac:dyDescent="0.2">
      <c r="AO1578" s="85"/>
    </row>
    <row r="1579" spans="41:41" x14ac:dyDescent="0.2">
      <c r="AO1579" s="85"/>
    </row>
    <row r="1580" spans="41:41" x14ac:dyDescent="0.2">
      <c r="AO1580" s="85"/>
    </row>
    <row r="1581" spans="41:41" x14ac:dyDescent="0.2">
      <c r="AO1581" s="85"/>
    </row>
    <row r="1582" spans="41:41" x14ac:dyDescent="0.2">
      <c r="AO1582" s="85"/>
    </row>
    <row r="1583" spans="41:41" x14ac:dyDescent="0.2">
      <c r="AO1583" s="85"/>
    </row>
    <row r="1584" spans="41:41" x14ac:dyDescent="0.2">
      <c r="AO1584" s="85"/>
    </row>
    <row r="1585" spans="41:41" x14ac:dyDescent="0.2">
      <c r="AO1585" s="85"/>
    </row>
    <row r="1586" spans="41:41" x14ac:dyDescent="0.2">
      <c r="AO1586" s="85"/>
    </row>
    <row r="1587" spans="41:41" x14ac:dyDescent="0.2">
      <c r="AO1587" s="85"/>
    </row>
    <row r="1588" spans="41:41" x14ac:dyDescent="0.2">
      <c r="AO1588" s="85"/>
    </row>
    <row r="1589" spans="41:41" x14ac:dyDescent="0.2">
      <c r="AO1589" s="85"/>
    </row>
    <row r="1590" spans="41:41" x14ac:dyDescent="0.2">
      <c r="AO1590" s="85"/>
    </row>
    <row r="1591" spans="41:41" x14ac:dyDescent="0.2">
      <c r="AO1591" s="85"/>
    </row>
    <row r="1592" spans="41:41" x14ac:dyDescent="0.2">
      <c r="AO1592" s="85"/>
    </row>
    <row r="1593" spans="41:41" x14ac:dyDescent="0.2">
      <c r="AO1593" s="85"/>
    </row>
    <row r="1594" spans="41:41" x14ac:dyDescent="0.2">
      <c r="AO1594" s="85"/>
    </row>
    <row r="1595" spans="41:41" x14ac:dyDescent="0.2">
      <c r="AO1595" s="85"/>
    </row>
    <row r="1596" spans="41:41" x14ac:dyDescent="0.2">
      <c r="AO1596" s="85"/>
    </row>
    <row r="1597" spans="41:41" x14ac:dyDescent="0.2">
      <c r="AO1597" s="85"/>
    </row>
    <row r="1598" spans="41:41" x14ac:dyDescent="0.2">
      <c r="AO1598" s="85"/>
    </row>
    <row r="1599" spans="41:41" x14ac:dyDescent="0.2">
      <c r="AO1599" s="85"/>
    </row>
    <row r="1600" spans="41:41" x14ac:dyDescent="0.2">
      <c r="AO1600" s="85"/>
    </row>
    <row r="1601" spans="41:41" x14ac:dyDescent="0.2">
      <c r="AO1601" s="85"/>
    </row>
    <row r="1602" spans="41:41" x14ac:dyDescent="0.2">
      <c r="AO1602" s="85"/>
    </row>
    <row r="1603" spans="41:41" x14ac:dyDescent="0.2">
      <c r="AO1603" s="85"/>
    </row>
    <row r="1604" spans="41:41" x14ac:dyDescent="0.2">
      <c r="AO1604" s="85"/>
    </row>
    <row r="1605" spans="41:41" x14ac:dyDescent="0.2">
      <c r="AO1605" s="85"/>
    </row>
    <row r="1606" spans="41:41" x14ac:dyDescent="0.2">
      <c r="AO1606" s="85"/>
    </row>
    <row r="1607" spans="41:41" x14ac:dyDescent="0.2">
      <c r="AO1607" s="85"/>
    </row>
    <row r="1608" spans="41:41" x14ac:dyDescent="0.2">
      <c r="AO1608" s="85"/>
    </row>
    <row r="1609" spans="41:41" x14ac:dyDescent="0.2">
      <c r="AO1609" s="85"/>
    </row>
    <row r="1610" spans="41:41" x14ac:dyDescent="0.2">
      <c r="AO1610" s="85"/>
    </row>
    <row r="1611" spans="41:41" x14ac:dyDescent="0.2">
      <c r="AO1611" s="85"/>
    </row>
    <row r="1612" spans="41:41" x14ac:dyDescent="0.2">
      <c r="AO1612" s="85"/>
    </row>
    <row r="1613" spans="41:41" x14ac:dyDescent="0.2">
      <c r="AO1613" s="85"/>
    </row>
    <row r="1614" spans="41:41" x14ac:dyDescent="0.2">
      <c r="AO1614" s="85"/>
    </row>
    <row r="1615" spans="41:41" x14ac:dyDescent="0.2">
      <c r="AO1615" s="85"/>
    </row>
    <row r="1616" spans="41:41" x14ac:dyDescent="0.2">
      <c r="AO1616" s="85"/>
    </row>
    <row r="1617" spans="41:41" x14ac:dyDescent="0.2">
      <c r="AO1617" s="85"/>
    </row>
    <row r="1618" spans="41:41" x14ac:dyDescent="0.2">
      <c r="AO1618" s="85"/>
    </row>
    <row r="1619" spans="41:41" x14ac:dyDescent="0.2">
      <c r="AO1619" s="85"/>
    </row>
    <row r="1620" spans="41:41" x14ac:dyDescent="0.2">
      <c r="AO1620" s="85"/>
    </row>
    <row r="1621" spans="41:41" x14ac:dyDescent="0.2">
      <c r="AO1621" s="85"/>
    </row>
    <row r="1622" spans="41:41" x14ac:dyDescent="0.2">
      <c r="AO1622" s="85"/>
    </row>
    <row r="1623" spans="41:41" x14ac:dyDescent="0.2">
      <c r="AO1623" s="85"/>
    </row>
    <row r="1624" spans="41:41" x14ac:dyDescent="0.2">
      <c r="AO1624" s="85"/>
    </row>
    <row r="1625" spans="41:41" x14ac:dyDescent="0.2">
      <c r="AO1625" s="85"/>
    </row>
    <row r="1626" spans="41:41" x14ac:dyDescent="0.2">
      <c r="AO1626" s="85"/>
    </row>
    <row r="1627" spans="41:41" x14ac:dyDescent="0.2">
      <c r="AO1627" s="85"/>
    </row>
    <row r="1628" spans="41:41" x14ac:dyDescent="0.2">
      <c r="AO1628" s="85"/>
    </row>
    <row r="1629" spans="41:41" x14ac:dyDescent="0.2">
      <c r="AO1629" s="85"/>
    </row>
    <row r="1630" spans="41:41" x14ac:dyDescent="0.2">
      <c r="AO1630" s="85"/>
    </row>
    <row r="1631" spans="41:41" x14ac:dyDescent="0.2">
      <c r="AO1631" s="85"/>
    </row>
    <row r="1632" spans="41:41" x14ac:dyDescent="0.2">
      <c r="AO1632" s="85"/>
    </row>
    <row r="1633" spans="41:41" x14ac:dyDescent="0.2">
      <c r="AO1633" s="85"/>
    </row>
    <row r="1634" spans="41:41" x14ac:dyDescent="0.2">
      <c r="AO1634" s="85"/>
    </row>
    <row r="1635" spans="41:41" x14ac:dyDescent="0.2">
      <c r="AO1635" s="85"/>
    </row>
    <row r="1636" spans="41:41" x14ac:dyDescent="0.2">
      <c r="AO1636" s="85"/>
    </row>
    <row r="1637" spans="41:41" x14ac:dyDescent="0.2">
      <c r="AO1637" s="85"/>
    </row>
    <row r="1638" spans="41:41" x14ac:dyDescent="0.2">
      <c r="AO1638" s="85"/>
    </row>
    <row r="1639" spans="41:41" x14ac:dyDescent="0.2">
      <c r="AO1639" s="85"/>
    </row>
    <row r="1640" spans="41:41" x14ac:dyDescent="0.2">
      <c r="AO1640" s="85"/>
    </row>
    <row r="1641" spans="41:41" x14ac:dyDescent="0.2">
      <c r="AO1641" s="85"/>
    </row>
    <row r="1642" spans="41:41" x14ac:dyDescent="0.2">
      <c r="AO1642" s="85"/>
    </row>
    <row r="1643" spans="41:41" x14ac:dyDescent="0.2">
      <c r="AO1643" s="85"/>
    </row>
    <row r="1644" spans="41:41" x14ac:dyDescent="0.2">
      <c r="AO1644" s="85"/>
    </row>
    <row r="1645" spans="41:41" x14ac:dyDescent="0.2">
      <c r="AO1645" s="85"/>
    </row>
    <row r="1646" spans="41:41" x14ac:dyDescent="0.2">
      <c r="AO1646" s="85"/>
    </row>
    <row r="1647" spans="41:41" x14ac:dyDescent="0.2">
      <c r="AO1647" s="85"/>
    </row>
    <row r="1648" spans="41:41" x14ac:dyDescent="0.2">
      <c r="AO1648" s="85"/>
    </row>
    <row r="1649" spans="41:41" x14ac:dyDescent="0.2">
      <c r="AO1649" s="85"/>
    </row>
    <row r="1650" spans="41:41" x14ac:dyDescent="0.2">
      <c r="AO1650" s="85"/>
    </row>
    <row r="1651" spans="41:41" x14ac:dyDescent="0.2">
      <c r="AO1651" s="85"/>
    </row>
    <row r="1652" spans="41:41" x14ac:dyDescent="0.2">
      <c r="AO1652" s="85"/>
    </row>
    <row r="1653" spans="41:41" x14ac:dyDescent="0.2">
      <c r="AO1653" s="85"/>
    </row>
    <row r="1654" spans="41:41" x14ac:dyDescent="0.2">
      <c r="AO1654" s="85"/>
    </row>
    <row r="1655" spans="41:41" x14ac:dyDescent="0.2">
      <c r="AO1655" s="85"/>
    </row>
    <row r="1656" spans="41:41" x14ac:dyDescent="0.2">
      <c r="AO1656" s="85"/>
    </row>
    <row r="1657" spans="41:41" x14ac:dyDescent="0.2">
      <c r="AO1657" s="85"/>
    </row>
    <row r="1658" spans="41:41" x14ac:dyDescent="0.2">
      <c r="AO1658" s="85"/>
    </row>
    <row r="1659" spans="41:41" x14ac:dyDescent="0.2">
      <c r="AO1659" s="85"/>
    </row>
    <row r="1660" spans="41:41" x14ac:dyDescent="0.2">
      <c r="AO1660" s="85"/>
    </row>
    <row r="1661" spans="41:41" x14ac:dyDescent="0.2">
      <c r="AO1661" s="85"/>
    </row>
    <row r="1662" spans="41:41" x14ac:dyDescent="0.2">
      <c r="AO1662" s="85"/>
    </row>
    <row r="1663" spans="41:41" x14ac:dyDescent="0.2">
      <c r="AO1663" s="85"/>
    </row>
    <row r="1664" spans="41:41" x14ac:dyDescent="0.2">
      <c r="AO1664" s="85"/>
    </row>
    <row r="1665" spans="41:41" x14ac:dyDescent="0.2">
      <c r="AO1665" s="85"/>
    </row>
    <row r="1666" spans="41:41" x14ac:dyDescent="0.2">
      <c r="AO1666" s="85"/>
    </row>
    <row r="1667" spans="41:41" x14ac:dyDescent="0.2">
      <c r="AO1667" s="85"/>
    </row>
    <row r="1668" spans="41:41" x14ac:dyDescent="0.2">
      <c r="AO1668" s="85"/>
    </row>
    <row r="1669" spans="41:41" x14ac:dyDescent="0.2">
      <c r="AO1669" s="85"/>
    </row>
    <row r="1670" spans="41:41" x14ac:dyDescent="0.2">
      <c r="AO1670" s="85"/>
    </row>
    <row r="1671" spans="41:41" x14ac:dyDescent="0.2">
      <c r="AO1671" s="85"/>
    </row>
    <row r="1672" spans="41:41" x14ac:dyDescent="0.2">
      <c r="AO1672" s="85"/>
    </row>
    <row r="1673" spans="41:41" x14ac:dyDescent="0.2">
      <c r="AO1673" s="85"/>
    </row>
    <row r="1674" spans="41:41" x14ac:dyDescent="0.2">
      <c r="AO1674" s="85"/>
    </row>
    <row r="1675" spans="41:41" x14ac:dyDescent="0.2">
      <c r="AO1675" s="85"/>
    </row>
    <row r="1676" spans="41:41" x14ac:dyDescent="0.2">
      <c r="AO1676" s="85"/>
    </row>
    <row r="1677" spans="41:41" x14ac:dyDescent="0.2">
      <c r="AO1677" s="85"/>
    </row>
    <row r="1678" spans="41:41" x14ac:dyDescent="0.2">
      <c r="AO1678" s="85"/>
    </row>
    <row r="1679" spans="41:41" x14ac:dyDescent="0.2">
      <c r="AO1679" s="85"/>
    </row>
    <row r="1680" spans="41:41" x14ac:dyDescent="0.2">
      <c r="AO1680" s="85"/>
    </row>
    <row r="1681" spans="41:41" x14ac:dyDescent="0.2">
      <c r="AO1681" s="85"/>
    </row>
    <row r="1682" spans="41:41" x14ac:dyDescent="0.2">
      <c r="AO1682" s="85"/>
    </row>
    <row r="1683" spans="41:41" x14ac:dyDescent="0.2">
      <c r="AO1683" s="85"/>
    </row>
    <row r="1684" spans="41:41" x14ac:dyDescent="0.2">
      <c r="AO1684" s="85"/>
    </row>
    <row r="1685" spans="41:41" x14ac:dyDescent="0.2">
      <c r="AO1685" s="85"/>
    </row>
    <row r="1686" spans="41:41" x14ac:dyDescent="0.2">
      <c r="AO1686" s="85"/>
    </row>
    <row r="1687" spans="41:41" x14ac:dyDescent="0.2">
      <c r="AO1687" s="85"/>
    </row>
    <row r="1688" spans="41:41" x14ac:dyDescent="0.2">
      <c r="AO1688" s="85"/>
    </row>
    <row r="1689" spans="41:41" x14ac:dyDescent="0.2">
      <c r="AO1689" s="85"/>
    </row>
    <row r="1690" spans="41:41" x14ac:dyDescent="0.2">
      <c r="AO1690" s="85"/>
    </row>
    <row r="1691" spans="41:41" x14ac:dyDescent="0.2">
      <c r="AO1691" s="85"/>
    </row>
    <row r="1692" spans="41:41" x14ac:dyDescent="0.2">
      <c r="AO1692" s="85"/>
    </row>
    <row r="1693" spans="41:41" x14ac:dyDescent="0.2">
      <c r="AO1693" s="85"/>
    </row>
    <row r="1694" spans="41:41" x14ac:dyDescent="0.2">
      <c r="AO1694" s="85"/>
    </row>
    <row r="1695" spans="41:41" x14ac:dyDescent="0.2">
      <c r="AO1695" s="85"/>
    </row>
    <row r="1696" spans="41:41" x14ac:dyDescent="0.2">
      <c r="AO1696" s="85"/>
    </row>
    <row r="1697" spans="41:41" x14ac:dyDescent="0.2">
      <c r="AO1697" s="85"/>
    </row>
    <row r="1698" spans="41:41" x14ac:dyDescent="0.2">
      <c r="AO1698" s="85"/>
    </row>
    <row r="1699" spans="41:41" x14ac:dyDescent="0.2">
      <c r="AO1699" s="85"/>
    </row>
    <row r="1700" spans="41:41" x14ac:dyDescent="0.2">
      <c r="AO1700" s="85"/>
    </row>
    <row r="1701" spans="41:41" x14ac:dyDescent="0.2">
      <c r="AO1701" s="85"/>
    </row>
    <row r="1702" spans="41:41" x14ac:dyDescent="0.2">
      <c r="AO1702" s="85"/>
    </row>
    <row r="1703" spans="41:41" x14ac:dyDescent="0.2">
      <c r="AO1703" s="85"/>
    </row>
    <row r="1704" spans="41:41" x14ac:dyDescent="0.2">
      <c r="AO1704" s="85"/>
    </row>
    <row r="1705" spans="41:41" x14ac:dyDescent="0.2">
      <c r="AO1705" s="85"/>
    </row>
    <row r="1706" spans="41:41" x14ac:dyDescent="0.2">
      <c r="AO1706" s="85"/>
    </row>
    <row r="1707" spans="41:41" x14ac:dyDescent="0.2">
      <c r="AO1707" s="85"/>
    </row>
    <row r="1708" spans="41:41" x14ac:dyDescent="0.2">
      <c r="AO1708" s="85"/>
    </row>
    <row r="1709" spans="41:41" x14ac:dyDescent="0.2">
      <c r="AO1709" s="85"/>
    </row>
    <row r="1710" spans="41:41" x14ac:dyDescent="0.2">
      <c r="AO1710" s="85"/>
    </row>
    <row r="1711" spans="41:41" x14ac:dyDescent="0.2">
      <c r="AO1711" s="85"/>
    </row>
    <row r="1712" spans="41:41" x14ac:dyDescent="0.2">
      <c r="AO1712" s="85"/>
    </row>
    <row r="1713" spans="41:41" x14ac:dyDescent="0.2">
      <c r="AO1713" s="85"/>
    </row>
    <row r="1714" spans="41:41" x14ac:dyDescent="0.2">
      <c r="AO1714" s="85"/>
    </row>
    <row r="1715" spans="41:41" x14ac:dyDescent="0.2">
      <c r="AO1715" s="85"/>
    </row>
    <row r="1716" spans="41:41" x14ac:dyDescent="0.2">
      <c r="AO1716" s="85"/>
    </row>
    <row r="1717" spans="41:41" x14ac:dyDescent="0.2">
      <c r="AO1717" s="85"/>
    </row>
    <row r="1718" spans="41:41" x14ac:dyDescent="0.2">
      <c r="AO1718" s="85"/>
    </row>
    <row r="1719" spans="41:41" x14ac:dyDescent="0.2">
      <c r="AO1719" s="85"/>
    </row>
    <row r="1720" spans="41:41" x14ac:dyDescent="0.2">
      <c r="AO1720" s="85"/>
    </row>
    <row r="1721" spans="41:41" x14ac:dyDescent="0.2">
      <c r="AO1721" s="85"/>
    </row>
    <row r="1722" spans="41:41" x14ac:dyDescent="0.2">
      <c r="AO1722" s="85"/>
    </row>
    <row r="1723" spans="41:41" x14ac:dyDescent="0.2">
      <c r="AO1723" s="85"/>
    </row>
    <row r="1724" spans="41:41" x14ac:dyDescent="0.2">
      <c r="AO1724" s="85"/>
    </row>
    <row r="1725" spans="41:41" x14ac:dyDescent="0.2">
      <c r="AO1725" s="85"/>
    </row>
    <row r="1726" spans="41:41" x14ac:dyDescent="0.2">
      <c r="AO1726" s="85"/>
    </row>
    <row r="1727" spans="41:41" x14ac:dyDescent="0.2">
      <c r="AO1727" s="85"/>
    </row>
    <row r="1728" spans="41:41" x14ac:dyDescent="0.2">
      <c r="AO1728" s="85"/>
    </row>
    <row r="1729" spans="41:41" x14ac:dyDescent="0.2">
      <c r="AO1729" s="85"/>
    </row>
    <row r="1730" spans="41:41" x14ac:dyDescent="0.2">
      <c r="AO1730" s="85"/>
    </row>
    <row r="1731" spans="41:41" x14ac:dyDescent="0.2">
      <c r="AO1731" s="85"/>
    </row>
    <row r="1732" spans="41:41" x14ac:dyDescent="0.2">
      <c r="AO1732" s="85"/>
    </row>
    <row r="1733" spans="41:41" x14ac:dyDescent="0.2">
      <c r="AO1733" s="85"/>
    </row>
    <row r="1734" spans="41:41" x14ac:dyDescent="0.2">
      <c r="AO1734" s="85"/>
    </row>
    <row r="1735" spans="41:41" x14ac:dyDescent="0.2">
      <c r="AO1735" s="85"/>
    </row>
    <row r="1736" spans="41:41" x14ac:dyDescent="0.2">
      <c r="AO1736" s="85"/>
    </row>
    <row r="1737" spans="41:41" x14ac:dyDescent="0.2">
      <c r="AO1737" s="85"/>
    </row>
    <row r="1738" spans="41:41" x14ac:dyDescent="0.2">
      <c r="AO1738" s="85"/>
    </row>
    <row r="1739" spans="41:41" x14ac:dyDescent="0.2">
      <c r="AO1739" s="85"/>
    </row>
    <row r="1740" spans="41:41" x14ac:dyDescent="0.2">
      <c r="AO1740" s="85"/>
    </row>
    <row r="1741" spans="41:41" x14ac:dyDescent="0.2">
      <c r="AO1741" s="85"/>
    </row>
    <row r="1742" spans="41:41" x14ac:dyDescent="0.2">
      <c r="AO1742" s="85"/>
    </row>
    <row r="1743" spans="41:41" x14ac:dyDescent="0.2">
      <c r="AO1743" s="85"/>
    </row>
    <row r="1744" spans="41:41" x14ac:dyDescent="0.2">
      <c r="AO1744" s="85"/>
    </row>
    <row r="1745" spans="41:41" x14ac:dyDescent="0.2">
      <c r="AO1745" s="85"/>
    </row>
    <row r="1746" spans="41:41" x14ac:dyDescent="0.2">
      <c r="AO1746" s="85"/>
    </row>
    <row r="1747" spans="41:41" x14ac:dyDescent="0.2">
      <c r="AO1747" s="85"/>
    </row>
    <row r="1748" spans="41:41" x14ac:dyDescent="0.2">
      <c r="AO1748" s="85"/>
    </row>
    <row r="1749" spans="41:41" x14ac:dyDescent="0.2">
      <c r="AO1749" s="85"/>
    </row>
    <row r="1750" spans="41:41" x14ac:dyDescent="0.2">
      <c r="AO1750" s="85"/>
    </row>
    <row r="1751" spans="41:41" x14ac:dyDescent="0.2">
      <c r="AO1751" s="85"/>
    </row>
    <row r="1752" spans="41:41" x14ac:dyDescent="0.2">
      <c r="AO1752" s="85"/>
    </row>
    <row r="1753" spans="41:41" x14ac:dyDescent="0.2">
      <c r="AO1753" s="85"/>
    </row>
    <row r="1754" spans="41:41" x14ac:dyDescent="0.2">
      <c r="AO1754" s="85"/>
    </row>
    <row r="1755" spans="41:41" x14ac:dyDescent="0.2">
      <c r="AO1755" s="85"/>
    </row>
    <row r="1756" spans="41:41" x14ac:dyDescent="0.2">
      <c r="AO1756" s="85"/>
    </row>
    <row r="1757" spans="41:41" x14ac:dyDescent="0.2">
      <c r="AO1757" s="85"/>
    </row>
    <row r="1758" spans="41:41" x14ac:dyDescent="0.2">
      <c r="AO1758" s="85"/>
    </row>
    <row r="1759" spans="41:41" x14ac:dyDescent="0.2">
      <c r="AO1759" s="85"/>
    </row>
    <row r="1760" spans="41:41" x14ac:dyDescent="0.2">
      <c r="AO1760" s="85"/>
    </row>
    <row r="1761" spans="41:41" x14ac:dyDescent="0.2">
      <c r="AO1761" s="85"/>
    </row>
    <row r="1762" spans="41:41" x14ac:dyDescent="0.2">
      <c r="AO1762" s="85"/>
    </row>
    <row r="1763" spans="41:41" x14ac:dyDescent="0.2">
      <c r="AO1763" s="85"/>
    </row>
    <row r="1764" spans="41:41" x14ac:dyDescent="0.2">
      <c r="AO1764" s="85"/>
    </row>
    <row r="1765" spans="41:41" x14ac:dyDescent="0.2">
      <c r="AO1765" s="85"/>
    </row>
    <row r="1766" spans="41:41" x14ac:dyDescent="0.2">
      <c r="AO1766" s="85"/>
    </row>
    <row r="1767" spans="41:41" x14ac:dyDescent="0.2">
      <c r="AO1767" s="85"/>
    </row>
    <row r="1768" spans="41:41" x14ac:dyDescent="0.2">
      <c r="AO1768" s="85"/>
    </row>
    <row r="1769" spans="41:41" x14ac:dyDescent="0.2">
      <c r="AO1769" s="85"/>
    </row>
    <row r="1770" spans="41:41" x14ac:dyDescent="0.2">
      <c r="AO1770" s="85"/>
    </row>
    <row r="1771" spans="41:41" x14ac:dyDescent="0.2">
      <c r="AO1771" s="85"/>
    </row>
    <row r="1772" spans="41:41" x14ac:dyDescent="0.2">
      <c r="AO1772" s="85"/>
    </row>
    <row r="1773" spans="41:41" x14ac:dyDescent="0.2">
      <c r="AO1773" s="85"/>
    </row>
    <row r="1774" spans="41:41" x14ac:dyDescent="0.2">
      <c r="AO1774" s="85"/>
    </row>
    <row r="1775" spans="41:41" x14ac:dyDescent="0.2">
      <c r="AO1775" s="85"/>
    </row>
    <row r="1776" spans="41:41" x14ac:dyDescent="0.2">
      <c r="AO1776" s="85"/>
    </row>
    <row r="1777" spans="41:41" x14ac:dyDescent="0.2">
      <c r="AO1777" s="85"/>
    </row>
    <row r="1778" spans="41:41" x14ac:dyDescent="0.2">
      <c r="AO1778" s="85"/>
    </row>
    <row r="1779" spans="41:41" x14ac:dyDescent="0.2">
      <c r="AO1779" s="85"/>
    </row>
    <row r="1780" spans="41:41" x14ac:dyDescent="0.2">
      <c r="AO1780" s="85"/>
    </row>
    <row r="1781" spans="41:41" x14ac:dyDescent="0.2">
      <c r="AO1781" s="85"/>
    </row>
    <row r="1782" spans="41:41" x14ac:dyDescent="0.2">
      <c r="AO1782" s="85"/>
    </row>
    <row r="1783" spans="41:41" x14ac:dyDescent="0.2">
      <c r="AO1783" s="85"/>
    </row>
    <row r="1784" spans="41:41" x14ac:dyDescent="0.2">
      <c r="AO1784" s="85"/>
    </row>
    <row r="1785" spans="41:41" x14ac:dyDescent="0.2">
      <c r="AO1785" s="85"/>
    </row>
    <row r="1786" spans="41:41" x14ac:dyDescent="0.2">
      <c r="AO1786" s="85"/>
    </row>
    <row r="1787" spans="41:41" x14ac:dyDescent="0.2">
      <c r="AO1787" s="85"/>
    </row>
    <row r="1788" spans="41:41" x14ac:dyDescent="0.2">
      <c r="AO1788" s="85"/>
    </row>
    <row r="1789" spans="41:41" x14ac:dyDescent="0.2">
      <c r="AO1789" s="85"/>
    </row>
    <row r="1790" spans="41:41" x14ac:dyDescent="0.2">
      <c r="AO1790" s="85"/>
    </row>
    <row r="1791" spans="41:41" x14ac:dyDescent="0.2">
      <c r="AO1791" s="85"/>
    </row>
    <row r="1792" spans="41:41" x14ac:dyDescent="0.2">
      <c r="AO1792" s="85"/>
    </row>
    <row r="1793" spans="41:41" x14ac:dyDescent="0.2">
      <c r="AO1793" s="85"/>
    </row>
    <row r="1794" spans="41:41" x14ac:dyDescent="0.2">
      <c r="AO1794" s="85"/>
    </row>
    <row r="1795" spans="41:41" x14ac:dyDescent="0.2">
      <c r="AO1795" s="85"/>
    </row>
    <row r="1796" spans="41:41" x14ac:dyDescent="0.2">
      <c r="AO1796" s="85"/>
    </row>
    <row r="1797" spans="41:41" x14ac:dyDescent="0.2">
      <c r="AO1797" s="85"/>
    </row>
    <row r="1798" spans="41:41" x14ac:dyDescent="0.2">
      <c r="AO1798" s="85"/>
    </row>
    <row r="1799" spans="41:41" x14ac:dyDescent="0.2">
      <c r="AO1799" s="85"/>
    </row>
    <row r="1800" spans="41:41" x14ac:dyDescent="0.2">
      <c r="AO1800" s="85"/>
    </row>
    <row r="1801" spans="41:41" x14ac:dyDescent="0.2">
      <c r="AO1801" s="85"/>
    </row>
    <row r="1802" spans="41:41" x14ac:dyDescent="0.2">
      <c r="AO1802" s="85"/>
    </row>
    <row r="1803" spans="41:41" x14ac:dyDescent="0.2">
      <c r="AO1803" s="85"/>
    </row>
    <row r="1804" spans="41:41" x14ac:dyDescent="0.2">
      <c r="AO1804" s="85"/>
    </row>
    <row r="1805" spans="41:41" x14ac:dyDescent="0.2">
      <c r="AO1805" s="85"/>
    </row>
    <row r="1806" spans="41:41" x14ac:dyDescent="0.2">
      <c r="AO1806" s="85"/>
    </row>
    <row r="1807" spans="41:41" x14ac:dyDescent="0.2">
      <c r="AO1807" s="85"/>
    </row>
    <row r="1808" spans="41:41" x14ac:dyDescent="0.2">
      <c r="AO1808" s="85"/>
    </row>
    <row r="1809" spans="41:41" x14ac:dyDescent="0.2">
      <c r="AO1809" s="85"/>
    </row>
    <row r="1810" spans="41:41" x14ac:dyDescent="0.2">
      <c r="AO1810" s="85"/>
    </row>
    <row r="1811" spans="41:41" x14ac:dyDescent="0.2">
      <c r="AO1811" s="85"/>
    </row>
    <row r="1812" spans="41:41" x14ac:dyDescent="0.2">
      <c r="AO1812" s="85"/>
    </row>
    <row r="1813" spans="41:41" x14ac:dyDescent="0.2">
      <c r="AO1813" s="85"/>
    </row>
    <row r="1814" spans="41:41" x14ac:dyDescent="0.2">
      <c r="AO1814" s="85"/>
    </row>
    <row r="1815" spans="41:41" x14ac:dyDescent="0.2">
      <c r="AO1815" s="85"/>
    </row>
    <row r="1816" spans="41:41" x14ac:dyDescent="0.2">
      <c r="AO1816" s="85"/>
    </row>
    <row r="1817" spans="41:41" x14ac:dyDescent="0.2">
      <c r="AO1817" s="85"/>
    </row>
    <row r="1818" spans="41:41" x14ac:dyDescent="0.2">
      <c r="AO1818" s="85"/>
    </row>
    <row r="1819" spans="41:41" x14ac:dyDescent="0.2">
      <c r="AO1819" s="85"/>
    </row>
    <row r="1820" spans="41:41" x14ac:dyDescent="0.2">
      <c r="AO1820" s="85"/>
    </row>
    <row r="1821" spans="41:41" x14ac:dyDescent="0.2">
      <c r="AO1821" s="85"/>
    </row>
    <row r="1822" spans="41:41" x14ac:dyDescent="0.2">
      <c r="AO1822" s="85"/>
    </row>
    <row r="1823" spans="41:41" x14ac:dyDescent="0.2">
      <c r="AO1823" s="85"/>
    </row>
    <row r="1824" spans="41:41" x14ac:dyDescent="0.2">
      <c r="AO1824" s="85"/>
    </row>
    <row r="1825" spans="41:41" x14ac:dyDescent="0.2">
      <c r="AO1825" s="85"/>
    </row>
    <row r="1826" spans="41:41" x14ac:dyDescent="0.2">
      <c r="AO1826" s="85"/>
    </row>
    <row r="1827" spans="41:41" x14ac:dyDescent="0.2">
      <c r="AO1827" s="85"/>
    </row>
    <row r="1828" spans="41:41" x14ac:dyDescent="0.2">
      <c r="AO1828" s="85"/>
    </row>
    <row r="1829" spans="41:41" x14ac:dyDescent="0.2">
      <c r="AO1829" s="85"/>
    </row>
    <row r="1830" spans="41:41" x14ac:dyDescent="0.2">
      <c r="AO1830" s="85"/>
    </row>
    <row r="1831" spans="41:41" x14ac:dyDescent="0.2">
      <c r="AO1831" s="85"/>
    </row>
    <row r="1832" spans="41:41" x14ac:dyDescent="0.2">
      <c r="AO1832" s="85"/>
    </row>
    <row r="1833" spans="41:41" x14ac:dyDescent="0.2">
      <c r="AO1833" s="85"/>
    </row>
    <row r="1834" spans="41:41" x14ac:dyDescent="0.2">
      <c r="AO1834" s="85"/>
    </row>
    <row r="1835" spans="41:41" x14ac:dyDescent="0.2">
      <c r="AO1835" s="85"/>
    </row>
    <row r="1836" spans="41:41" x14ac:dyDescent="0.2">
      <c r="AO1836" s="85"/>
    </row>
    <row r="1837" spans="41:41" x14ac:dyDescent="0.2">
      <c r="AO1837" s="85"/>
    </row>
    <row r="1838" spans="41:41" x14ac:dyDescent="0.2">
      <c r="AO1838" s="85"/>
    </row>
    <row r="1839" spans="41:41" x14ac:dyDescent="0.2">
      <c r="AO1839" s="85"/>
    </row>
    <row r="1840" spans="41:41" x14ac:dyDescent="0.2">
      <c r="AO1840" s="85"/>
    </row>
    <row r="1841" spans="41:41" x14ac:dyDescent="0.2">
      <c r="AO1841" s="85"/>
    </row>
    <row r="1842" spans="41:41" x14ac:dyDescent="0.2">
      <c r="AO1842" s="85"/>
    </row>
    <row r="1843" spans="41:41" x14ac:dyDescent="0.2">
      <c r="AO1843" s="85"/>
    </row>
    <row r="1844" spans="41:41" x14ac:dyDescent="0.2">
      <c r="AO1844" s="85"/>
    </row>
    <row r="1845" spans="41:41" x14ac:dyDescent="0.2">
      <c r="AO1845" s="85"/>
    </row>
    <row r="1846" spans="41:41" x14ac:dyDescent="0.2">
      <c r="AO1846" s="85"/>
    </row>
    <row r="1847" spans="41:41" x14ac:dyDescent="0.2">
      <c r="AO1847" s="85"/>
    </row>
    <row r="1848" spans="41:41" x14ac:dyDescent="0.2">
      <c r="AO1848" s="85"/>
    </row>
    <row r="1849" spans="41:41" x14ac:dyDescent="0.2">
      <c r="AO1849" s="85"/>
    </row>
    <row r="1850" spans="41:41" x14ac:dyDescent="0.2">
      <c r="AO1850" s="85"/>
    </row>
    <row r="1851" spans="41:41" x14ac:dyDescent="0.2">
      <c r="AO1851" s="85"/>
    </row>
    <row r="1852" spans="41:41" x14ac:dyDescent="0.2">
      <c r="AO1852" s="85"/>
    </row>
    <row r="1853" spans="41:41" x14ac:dyDescent="0.2">
      <c r="AO1853" s="85"/>
    </row>
    <row r="1854" spans="41:41" x14ac:dyDescent="0.2">
      <c r="AO1854" s="85"/>
    </row>
    <row r="1855" spans="41:41" x14ac:dyDescent="0.2">
      <c r="AO1855" s="85"/>
    </row>
    <row r="1856" spans="41:41" x14ac:dyDescent="0.2">
      <c r="AO1856" s="85"/>
    </row>
    <row r="1857" spans="41:41" x14ac:dyDescent="0.2">
      <c r="AO1857" s="85"/>
    </row>
    <row r="1858" spans="41:41" x14ac:dyDescent="0.2">
      <c r="AO1858" s="85"/>
    </row>
    <row r="1859" spans="41:41" x14ac:dyDescent="0.2">
      <c r="AO1859" s="85"/>
    </row>
    <row r="1860" spans="41:41" x14ac:dyDescent="0.2">
      <c r="AO1860" s="85"/>
    </row>
    <row r="1861" spans="41:41" x14ac:dyDescent="0.2">
      <c r="AO1861" s="85"/>
    </row>
    <row r="1862" spans="41:41" x14ac:dyDescent="0.2">
      <c r="AO1862" s="85"/>
    </row>
    <row r="1863" spans="41:41" x14ac:dyDescent="0.2">
      <c r="AO1863" s="85"/>
    </row>
    <row r="1864" spans="41:41" x14ac:dyDescent="0.2">
      <c r="AO1864" s="85"/>
    </row>
    <row r="1865" spans="41:41" x14ac:dyDescent="0.2">
      <c r="AO1865" s="85"/>
    </row>
    <row r="1866" spans="41:41" x14ac:dyDescent="0.2">
      <c r="AO1866" s="85"/>
    </row>
    <row r="1867" spans="41:41" x14ac:dyDescent="0.2">
      <c r="AO1867" s="85"/>
    </row>
    <row r="1868" spans="41:41" x14ac:dyDescent="0.2">
      <c r="AO1868" s="85"/>
    </row>
    <row r="1869" spans="41:41" x14ac:dyDescent="0.2">
      <c r="AO1869" s="85"/>
    </row>
    <row r="1870" spans="41:41" x14ac:dyDescent="0.2">
      <c r="AO1870" s="85"/>
    </row>
    <row r="1871" spans="41:41" x14ac:dyDescent="0.2">
      <c r="AO1871" s="85"/>
    </row>
    <row r="1872" spans="41:41" x14ac:dyDescent="0.2">
      <c r="AO1872" s="85"/>
    </row>
    <row r="1873" spans="41:41" x14ac:dyDescent="0.2">
      <c r="AO1873" s="85"/>
    </row>
    <row r="1874" spans="41:41" x14ac:dyDescent="0.2">
      <c r="AO1874" s="85"/>
    </row>
    <row r="1875" spans="41:41" x14ac:dyDescent="0.2">
      <c r="AO1875" s="85"/>
    </row>
    <row r="1876" spans="41:41" x14ac:dyDescent="0.2">
      <c r="AO1876" s="85"/>
    </row>
    <row r="1877" spans="41:41" x14ac:dyDescent="0.2">
      <c r="AO1877" s="85"/>
    </row>
    <row r="1878" spans="41:41" x14ac:dyDescent="0.2">
      <c r="AO1878" s="85"/>
    </row>
    <row r="1879" spans="41:41" x14ac:dyDescent="0.2">
      <c r="AO1879" s="85"/>
    </row>
    <row r="1880" spans="41:41" x14ac:dyDescent="0.2">
      <c r="AO1880" s="85"/>
    </row>
    <row r="1881" spans="41:41" x14ac:dyDescent="0.2">
      <c r="AO1881" s="85"/>
    </row>
    <row r="1882" spans="41:41" x14ac:dyDescent="0.2">
      <c r="AO1882" s="85"/>
    </row>
    <row r="1883" spans="41:41" x14ac:dyDescent="0.2">
      <c r="AO1883" s="85"/>
    </row>
    <row r="1884" spans="41:41" x14ac:dyDescent="0.2">
      <c r="AO1884" s="85"/>
    </row>
    <row r="1885" spans="41:41" x14ac:dyDescent="0.2">
      <c r="AO1885" s="85"/>
    </row>
    <row r="1886" spans="41:41" x14ac:dyDescent="0.2">
      <c r="AO1886" s="85"/>
    </row>
    <row r="1887" spans="41:41" x14ac:dyDescent="0.2">
      <c r="AO1887" s="85"/>
    </row>
    <row r="1888" spans="41:41" x14ac:dyDescent="0.2">
      <c r="AO1888" s="85"/>
    </row>
    <row r="1889" spans="41:41" x14ac:dyDescent="0.2">
      <c r="AO1889" s="85"/>
    </row>
    <row r="1890" spans="41:41" x14ac:dyDescent="0.2">
      <c r="AO1890" s="85"/>
    </row>
    <row r="1891" spans="41:41" x14ac:dyDescent="0.2">
      <c r="AO1891" s="85"/>
    </row>
    <row r="1892" spans="41:41" x14ac:dyDescent="0.2">
      <c r="AO1892" s="85"/>
    </row>
    <row r="1893" spans="41:41" x14ac:dyDescent="0.2">
      <c r="AO1893" s="85"/>
    </row>
    <row r="1894" spans="41:41" x14ac:dyDescent="0.2">
      <c r="AO1894" s="85"/>
    </row>
    <row r="1895" spans="41:41" x14ac:dyDescent="0.2">
      <c r="AO1895" s="85"/>
    </row>
    <row r="1896" spans="41:41" x14ac:dyDescent="0.2">
      <c r="AO1896" s="85"/>
    </row>
    <row r="1897" spans="41:41" x14ac:dyDescent="0.2">
      <c r="AO1897" s="85"/>
    </row>
    <row r="1898" spans="41:41" x14ac:dyDescent="0.2">
      <c r="AO1898" s="85"/>
    </row>
    <row r="1899" spans="41:41" x14ac:dyDescent="0.2">
      <c r="AO1899" s="85"/>
    </row>
    <row r="1900" spans="41:41" x14ac:dyDescent="0.2">
      <c r="AO1900" s="85"/>
    </row>
    <row r="1901" spans="41:41" x14ac:dyDescent="0.2">
      <c r="AO1901" s="85"/>
    </row>
    <row r="1902" spans="41:41" x14ac:dyDescent="0.2">
      <c r="AO1902" s="85"/>
    </row>
    <row r="1903" spans="41:41" x14ac:dyDescent="0.2">
      <c r="AO1903" s="85"/>
    </row>
    <row r="1904" spans="41:41" x14ac:dyDescent="0.2">
      <c r="AO1904" s="85"/>
    </row>
    <row r="1905" spans="41:41" x14ac:dyDescent="0.2">
      <c r="AO1905" s="85"/>
    </row>
    <row r="1906" spans="41:41" x14ac:dyDescent="0.2">
      <c r="AO1906" s="85"/>
    </row>
    <row r="1907" spans="41:41" x14ac:dyDescent="0.2">
      <c r="AO1907" s="85"/>
    </row>
    <row r="1908" spans="41:41" x14ac:dyDescent="0.2">
      <c r="AO1908" s="85"/>
    </row>
    <row r="1909" spans="41:41" x14ac:dyDescent="0.2">
      <c r="AO1909" s="85"/>
    </row>
    <row r="1910" spans="41:41" x14ac:dyDescent="0.2">
      <c r="AO1910" s="85"/>
    </row>
    <row r="1911" spans="41:41" x14ac:dyDescent="0.2">
      <c r="AO1911" s="85"/>
    </row>
    <row r="1912" spans="41:41" x14ac:dyDescent="0.2">
      <c r="AO1912" s="85"/>
    </row>
    <row r="1913" spans="41:41" x14ac:dyDescent="0.2">
      <c r="AO1913" s="85"/>
    </row>
    <row r="1914" spans="41:41" x14ac:dyDescent="0.2">
      <c r="AO1914" s="85"/>
    </row>
    <row r="1915" spans="41:41" x14ac:dyDescent="0.2">
      <c r="AO1915" s="85"/>
    </row>
    <row r="1916" spans="41:41" x14ac:dyDescent="0.2">
      <c r="AO1916" s="85"/>
    </row>
    <row r="1917" spans="41:41" x14ac:dyDescent="0.2">
      <c r="AO1917" s="85"/>
    </row>
    <row r="1918" spans="41:41" x14ac:dyDescent="0.2">
      <c r="AO1918" s="85"/>
    </row>
    <row r="1919" spans="41:41" x14ac:dyDescent="0.2">
      <c r="AO1919" s="85"/>
    </row>
    <row r="1920" spans="41:41" x14ac:dyDescent="0.2">
      <c r="AO1920" s="85"/>
    </row>
    <row r="1921" spans="41:41" x14ac:dyDescent="0.2">
      <c r="AO1921" s="85"/>
    </row>
    <row r="1922" spans="41:41" x14ac:dyDescent="0.2">
      <c r="AO1922" s="85"/>
    </row>
    <row r="1923" spans="41:41" x14ac:dyDescent="0.2">
      <c r="AO1923" s="85"/>
    </row>
    <row r="1924" spans="41:41" x14ac:dyDescent="0.2">
      <c r="AO1924" s="85"/>
    </row>
    <row r="1925" spans="41:41" x14ac:dyDescent="0.2">
      <c r="AO1925" s="85"/>
    </row>
    <row r="1926" spans="41:41" x14ac:dyDescent="0.2">
      <c r="AO1926" s="85"/>
    </row>
    <row r="1927" spans="41:41" x14ac:dyDescent="0.2">
      <c r="AO1927" s="85"/>
    </row>
    <row r="1928" spans="41:41" x14ac:dyDescent="0.2">
      <c r="AO1928" s="85"/>
    </row>
    <row r="1929" spans="41:41" x14ac:dyDescent="0.2">
      <c r="AO1929" s="85"/>
    </row>
    <row r="1930" spans="41:41" x14ac:dyDescent="0.2">
      <c r="AO1930" s="85"/>
    </row>
    <row r="1931" spans="41:41" x14ac:dyDescent="0.2">
      <c r="AO1931" s="85"/>
    </row>
    <row r="1932" spans="41:41" x14ac:dyDescent="0.2">
      <c r="AO1932" s="85"/>
    </row>
    <row r="1933" spans="41:41" x14ac:dyDescent="0.2">
      <c r="AO1933" s="85"/>
    </row>
    <row r="1934" spans="41:41" x14ac:dyDescent="0.2">
      <c r="AO1934" s="85"/>
    </row>
    <row r="1935" spans="41:41" x14ac:dyDescent="0.2">
      <c r="AO1935" s="85"/>
    </row>
    <row r="1936" spans="41:41" x14ac:dyDescent="0.2">
      <c r="AO1936" s="85"/>
    </row>
    <row r="1937" spans="41:41" x14ac:dyDescent="0.2">
      <c r="AO1937" s="85"/>
    </row>
    <row r="1938" spans="41:41" x14ac:dyDescent="0.2">
      <c r="AO1938" s="85"/>
    </row>
    <row r="1939" spans="41:41" x14ac:dyDescent="0.2">
      <c r="AO1939" s="85"/>
    </row>
    <row r="1940" spans="41:41" x14ac:dyDescent="0.2">
      <c r="AO1940" s="85"/>
    </row>
    <row r="1941" spans="41:41" x14ac:dyDescent="0.2">
      <c r="AO1941" s="85"/>
    </row>
    <row r="1942" spans="41:41" x14ac:dyDescent="0.2">
      <c r="AO1942" s="85"/>
    </row>
    <row r="1943" spans="41:41" x14ac:dyDescent="0.2">
      <c r="AO1943" s="85"/>
    </row>
    <row r="1944" spans="41:41" x14ac:dyDescent="0.2">
      <c r="AO1944" s="85"/>
    </row>
    <row r="1945" spans="41:41" x14ac:dyDescent="0.2">
      <c r="AO1945" s="85"/>
    </row>
    <row r="1946" spans="41:41" x14ac:dyDescent="0.2">
      <c r="AO1946" s="85"/>
    </row>
    <row r="1947" spans="41:41" x14ac:dyDescent="0.2">
      <c r="AO1947" s="85"/>
    </row>
    <row r="1948" spans="41:41" x14ac:dyDescent="0.2">
      <c r="AO1948" s="85"/>
    </row>
    <row r="1949" spans="41:41" x14ac:dyDescent="0.2">
      <c r="AO1949" s="85"/>
    </row>
    <row r="1950" spans="41:41" x14ac:dyDescent="0.2">
      <c r="AO1950" s="85"/>
    </row>
    <row r="1951" spans="41:41" x14ac:dyDescent="0.2">
      <c r="AO1951" s="85"/>
    </row>
    <row r="1952" spans="41:41" x14ac:dyDescent="0.2">
      <c r="AO1952" s="85"/>
    </row>
    <row r="1953" spans="41:41" x14ac:dyDescent="0.2">
      <c r="AO1953" s="85"/>
    </row>
    <row r="1954" spans="41:41" x14ac:dyDescent="0.2">
      <c r="AO1954" s="85"/>
    </row>
    <row r="1955" spans="41:41" x14ac:dyDescent="0.2">
      <c r="AO1955" s="85"/>
    </row>
    <row r="1956" spans="41:41" x14ac:dyDescent="0.2">
      <c r="AO1956" s="85"/>
    </row>
    <row r="1957" spans="41:41" x14ac:dyDescent="0.2">
      <c r="AO1957" s="85"/>
    </row>
    <row r="1958" spans="41:41" x14ac:dyDescent="0.2">
      <c r="AO1958" s="85"/>
    </row>
    <row r="1959" spans="41:41" x14ac:dyDescent="0.2">
      <c r="AO1959" s="85"/>
    </row>
    <row r="1960" spans="41:41" x14ac:dyDescent="0.2">
      <c r="AO1960" s="85"/>
    </row>
    <row r="1961" spans="41:41" x14ac:dyDescent="0.2">
      <c r="AO1961" s="85"/>
    </row>
    <row r="1962" spans="41:41" x14ac:dyDescent="0.2">
      <c r="AO1962" s="85"/>
    </row>
    <row r="1963" spans="41:41" x14ac:dyDescent="0.2">
      <c r="AO1963" s="85"/>
    </row>
    <row r="1964" spans="41:41" x14ac:dyDescent="0.2">
      <c r="AO1964" s="85"/>
    </row>
    <row r="1965" spans="41:41" x14ac:dyDescent="0.2">
      <c r="AO1965" s="85"/>
    </row>
    <row r="1966" spans="41:41" x14ac:dyDescent="0.2">
      <c r="AO1966" s="85"/>
    </row>
    <row r="1967" spans="41:41" x14ac:dyDescent="0.2">
      <c r="AO1967" s="85"/>
    </row>
    <row r="1968" spans="41:41" x14ac:dyDescent="0.2">
      <c r="AO1968" s="85"/>
    </row>
    <row r="1969" spans="41:41" x14ac:dyDescent="0.2">
      <c r="AO1969" s="85"/>
    </row>
    <row r="1970" spans="41:41" x14ac:dyDescent="0.2">
      <c r="AO1970" s="85"/>
    </row>
    <row r="1971" spans="41:41" x14ac:dyDescent="0.2">
      <c r="AO1971" s="85"/>
    </row>
    <row r="1972" spans="41:41" x14ac:dyDescent="0.2">
      <c r="AO1972" s="85"/>
    </row>
    <row r="1973" spans="41:41" x14ac:dyDescent="0.2">
      <c r="AO1973" s="85"/>
    </row>
    <row r="1974" spans="41:41" x14ac:dyDescent="0.2">
      <c r="AO1974" s="85"/>
    </row>
    <row r="1975" spans="41:41" x14ac:dyDescent="0.2">
      <c r="AO1975" s="85"/>
    </row>
    <row r="1976" spans="41:41" x14ac:dyDescent="0.2">
      <c r="AO1976" s="85"/>
    </row>
    <row r="1977" spans="41:41" x14ac:dyDescent="0.2">
      <c r="AO1977" s="85"/>
    </row>
    <row r="1978" spans="41:41" x14ac:dyDescent="0.2">
      <c r="AO1978" s="85"/>
    </row>
    <row r="1979" spans="41:41" x14ac:dyDescent="0.2">
      <c r="AO1979" s="85"/>
    </row>
    <row r="1980" spans="41:41" x14ac:dyDescent="0.2">
      <c r="AO1980" s="85"/>
    </row>
    <row r="1981" spans="41:41" x14ac:dyDescent="0.2">
      <c r="AO1981" s="85"/>
    </row>
    <row r="1982" spans="41:41" x14ac:dyDescent="0.2">
      <c r="AO1982" s="85"/>
    </row>
    <row r="1983" spans="41:41" x14ac:dyDescent="0.2">
      <c r="AO1983" s="85"/>
    </row>
    <row r="1984" spans="41:41" x14ac:dyDescent="0.2">
      <c r="AO1984" s="85"/>
    </row>
    <row r="1985" spans="41:41" x14ac:dyDescent="0.2">
      <c r="AO1985" s="85"/>
    </row>
    <row r="1986" spans="41:41" x14ac:dyDescent="0.2">
      <c r="AO1986" s="85"/>
    </row>
    <row r="1987" spans="41:41" x14ac:dyDescent="0.2">
      <c r="AO1987" s="85"/>
    </row>
    <row r="1988" spans="41:41" x14ac:dyDescent="0.2">
      <c r="AO1988" s="85"/>
    </row>
    <row r="1989" spans="41:41" x14ac:dyDescent="0.2">
      <c r="AO1989" s="85"/>
    </row>
    <row r="1990" spans="41:41" x14ac:dyDescent="0.2">
      <c r="AO1990" s="85"/>
    </row>
    <row r="1991" spans="41:41" x14ac:dyDescent="0.2">
      <c r="AO1991" s="85"/>
    </row>
    <row r="1992" spans="41:41" x14ac:dyDescent="0.2">
      <c r="AO1992" s="85"/>
    </row>
    <row r="1993" spans="41:41" x14ac:dyDescent="0.2">
      <c r="AO1993" s="85"/>
    </row>
    <row r="1994" spans="41:41" x14ac:dyDescent="0.2">
      <c r="AO1994" s="85"/>
    </row>
    <row r="1995" spans="41:41" x14ac:dyDescent="0.2">
      <c r="AO1995" s="85"/>
    </row>
    <row r="1996" spans="41:41" x14ac:dyDescent="0.2">
      <c r="AO1996" s="85"/>
    </row>
    <row r="1997" spans="41:41" x14ac:dyDescent="0.2">
      <c r="AO1997" s="85"/>
    </row>
    <row r="1998" spans="41:41" x14ac:dyDescent="0.2">
      <c r="AO1998" s="85"/>
    </row>
    <row r="1999" spans="41:41" x14ac:dyDescent="0.2">
      <c r="AO1999" s="85"/>
    </row>
    <row r="2000" spans="41:41" x14ac:dyDescent="0.2">
      <c r="AO2000" s="85"/>
    </row>
    <row r="2001" spans="41:41" x14ac:dyDescent="0.2">
      <c r="AO2001" s="85"/>
    </row>
    <row r="2002" spans="41:41" x14ac:dyDescent="0.2">
      <c r="AO2002" s="85"/>
    </row>
    <row r="2003" spans="41:41" x14ac:dyDescent="0.2">
      <c r="AO2003" s="85"/>
    </row>
    <row r="2004" spans="41:41" x14ac:dyDescent="0.2">
      <c r="AO2004" s="85"/>
    </row>
    <row r="2005" spans="41:41" x14ac:dyDescent="0.2">
      <c r="AO2005" s="85"/>
    </row>
    <row r="2006" spans="41:41" x14ac:dyDescent="0.2">
      <c r="AO2006" s="85"/>
    </row>
    <row r="2007" spans="41:41" x14ac:dyDescent="0.2">
      <c r="AO2007" s="85"/>
    </row>
    <row r="2008" spans="41:41" x14ac:dyDescent="0.2">
      <c r="AO2008" s="85"/>
    </row>
    <row r="2009" spans="41:41" x14ac:dyDescent="0.2">
      <c r="AO2009" s="85"/>
    </row>
    <row r="2010" spans="41:41" x14ac:dyDescent="0.2">
      <c r="AO2010" s="85"/>
    </row>
    <row r="2011" spans="41:41" x14ac:dyDescent="0.2">
      <c r="AO2011" s="85"/>
    </row>
    <row r="2012" spans="41:41" x14ac:dyDescent="0.2">
      <c r="AO2012" s="85"/>
    </row>
    <row r="2013" spans="41:41" x14ac:dyDescent="0.2">
      <c r="AO2013" s="85"/>
    </row>
    <row r="2014" spans="41:41" x14ac:dyDescent="0.2">
      <c r="AO2014" s="85"/>
    </row>
    <row r="2015" spans="41:41" x14ac:dyDescent="0.2">
      <c r="AO2015" s="85"/>
    </row>
    <row r="2016" spans="41:41" x14ac:dyDescent="0.2">
      <c r="AO2016" s="85"/>
    </row>
    <row r="2017" spans="41:41" x14ac:dyDescent="0.2">
      <c r="AO2017" s="85"/>
    </row>
    <row r="2018" spans="41:41" x14ac:dyDescent="0.2">
      <c r="AO2018" s="85"/>
    </row>
    <row r="2019" spans="41:41" x14ac:dyDescent="0.2">
      <c r="AO2019" s="85"/>
    </row>
    <row r="2020" spans="41:41" x14ac:dyDescent="0.2">
      <c r="AO2020" s="85"/>
    </row>
    <row r="2021" spans="41:41" x14ac:dyDescent="0.2">
      <c r="AO2021" s="85"/>
    </row>
    <row r="2022" spans="41:41" x14ac:dyDescent="0.2">
      <c r="AO2022" s="85"/>
    </row>
    <row r="2023" spans="41:41" x14ac:dyDescent="0.2">
      <c r="AO2023" s="85"/>
    </row>
    <row r="2024" spans="41:41" x14ac:dyDescent="0.2">
      <c r="AO2024" s="85"/>
    </row>
    <row r="2025" spans="41:41" x14ac:dyDescent="0.2">
      <c r="AO2025" s="85"/>
    </row>
    <row r="2026" spans="41:41" x14ac:dyDescent="0.2">
      <c r="AO2026" s="85"/>
    </row>
    <row r="2027" spans="41:41" x14ac:dyDescent="0.2">
      <c r="AO2027" s="85"/>
    </row>
    <row r="2028" spans="41:41" x14ac:dyDescent="0.2">
      <c r="AO2028" s="85"/>
    </row>
    <row r="2029" spans="41:41" x14ac:dyDescent="0.2">
      <c r="AO2029" s="85"/>
    </row>
    <row r="2030" spans="41:41" x14ac:dyDescent="0.2">
      <c r="AO2030" s="85"/>
    </row>
    <row r="2031" spans="41:41" x14ac:dyDescent="0.2">
      <c r="AO2031" s="85"/>
    </row>
    <row r="2032" spans="41:41" x14ac:dyDescent="0.2">
      <c r="AO2032" s="85"/>
    </row>
    <row r="2033" spans="41:41" x14ac:dyDescent="0.2">
      <c r="AO2033" s="85"/>
    </row>
    <row r="2034" spans="41:41" x14ac:dyDescent="0.2">
      <c r="AO2034" s="85"/>
    </row>
    <row r="2035" spans="41:41" x14ac:dyDescent="0.2">
      <c r="AO2035" s="85"/>
    </row>
    <row r="2036" spans="41:41" x14ac:dyDescent="0.2">
      <c r="AO2036" s="85"/>
    </row>
    <row r="2037" spans="41:41" x14ac:dyDescent="0.2">
      <c r="AO2037" s="85"/>
    </row>
    <row r="2038" spans="41:41" x14ac:dyDescent="0.2">
      <c r="AO2038" s="85"/>
    </row>
    <row r="2039" spans="41:41" x14ac:dyDescent="0.2">
      <c r="AO2039" s="85"/>
    </row>
    <row r="2040" spans="41:41" x14ac:dyDescent="0.2">
      <c r="AO2040" s="85"/>
    </row>
    <row r="2041" spans="41:41" x14ac:dyDescent="0.2">
      <c r="AO2041" s="85"/>
    </row>
    <row r="2042" spans="41:41" x14ac:dyDescent="0.2">
      <c r="AO2042" s="85"/>
    </row>
    <row r="2043" spans="41:41" x14ac:dyDescent="0.2">
      <c r="AO2043" s="85"/>
    </row>
    <row r="2044" spans="41:41" x14ac:dyDescent="0.2">
      <c r="AO2044" s="85"/>
    </row>
    <row r="2045" spans="41:41" x14ac:dyDescent="0.2">
      <c r="AO2045" s="85"/>
    </row>
    <row r="2046" spans="41:41" x14ac:dyDescent="0.2">
      <c r="AO2046" s="85"/>
    </row>
    <row r="2047" spans="41:41" x14ac:dyDescent="0.2">
      <c r="AO2047" s="85"/>
    </row>
    <row r="2048" spans="41:41" x14ac:dyDescent="0.2">
      <c r="AO2048" s="85"/>
    </row>
    <row r="2049" spans="41:41" x14ac:dyDescent="0.2">
      <c r="AO2049" s="85"/>
    </row>
    <row r="2050" spans="41:41" x14ac:dyDescent="0.2">
      <c r="AO2050" s="85"/>
    </row>
    <row r="2051" spans="41:41" x14ac:dyDescent="0.2">
      <c r="AO2051" s="85"/>
    </row>
    <row r="2052" spans="41:41" x14ac:dyDescent="0.2">
      <c r="AO2052" s="85"/>
    </row>
    <row r="2053" spans="41:41" x14ac:dyDescent="0.2">
      <c r="AO2053" s="85"/>
    </row>
    <row r="2054" spans="41:41" x14ac:dyDescent="0.2">
      <c r="AO2054" s="85"/>
    </row>
    <row r="2055" spans="41:41" x14ac:dyDescent="0.2">
      <c r="AO2055" s="85"/>
    </row>
    <row r="2056" spans="41:41" x14ac:dyDescent="0.2">
      <c r="AO2056" s="85"/>
    </row>
    <row r="2057" spans="41:41" x14ac:dyDescent="0.2">
      <c r="AO2057" s="85"/>
    </row>
    <row r="2058" spans="41:41" x14ac:dyDescent="0.2">
      <c r="AO2058" s="85"/>
    </row>
    <row r="2059" spans="41:41" x14ac:dyDescent="0.2">
      <c r="AO2059" s="85"/>
    </row>
    <row r="2060" spans="41:41" x14ac:dyDescent="0.2">
      <c r="AO2060" s="85"/>
    </row>
    <row r="2061" spans="41:41" x14ac:dyDescent="0.2">
      <c r="AO2061" s="85"/>
    </row>
    <row r="2062" spans="41:41" x14ac:dyDescent="0.2">
      <c r="AO2062" s="85"/>
    </row>
    <row r="2063" spans="41:41" x14ac:dyDescent="0.2">
      <c r="AO2063" s="85"/>
    </row>
    <row r="2064" spans="41:41" x14ac:dyDescent="0.2">
      <c r="AO2064" s="85"/>
    </row>
    <row r="2065" spans="41:41" x14ac:dyDescent="0.2">
      <c r="AO2065" s="85"/>
    </row>
    <row r="2066" spans="41:41" x14ac:dyDescent="0.2">
      <c r="AO2066" s="85"/>
    </row>
    <row r="2067" spans="41:41" x14ac:dyDescent="0.2">
      <c r="AO2067" s="85"/>
    </row>
    <row r="2068" spans="41:41" x14ac:dyDescent="0.2">
      <c r="AO2068" s="85"/>
    </row>
    <row r="2069" spans="41:41" x14ac:dyDescent="0.2">
      <c r="AO2069" s="85"/>
    </row>
    <row r="2070" spans="41:41" x14ac:dyDescent="0.2">
      <c r="AO2070" s="85"/>
    </row>
    <row r="2071" spans="41:41" x14ac:dyDescent="0.2">
      <c r="AO2071" s="85"/>
    </row>
    <row r="2072" spans="41:41" x14ac:dyDescent="0.2">
      <c r="AO2072" s="85"/>
    </row>
    <row r="2073" spans="41:41" x14ac:dyDescent="0.2">
      <c r="AO2073" s="85"/>
    </row>
    <row r="2074" spans="41:41" x14ac:dyDescent="0.2">
      <c r="AO2074" s="85"/>
    </row>
    <row r="2075" spans="41:41" x14ac:dyDescent="0.2">
      <c r="AO2075" s="85"/>
    </row>
    <row r="2076" spans="41:41" x14ac:dyDescent="0.2">
      <c r="AO2076" s="85"/>
    </row>
    <row r="2077" spans="41:41" x14ac:dyDescent="0.2">
      <c r="AO2077" s="85"/>
    </row>
    <row r="2078" spans="41:41" x14ac:dyDescent="0.2">
      <c r="AO2078" s="85"/>
    </row>
    <row r="2079" spans="41:41" x14ac:dyDescent="0.2">
      <c r="AO2079" s="85"/>
    </row>
    <row r="2080" spans="41:41" x14ac:dyDescent="0.2">
      <c r="AO2080" s="85"/>
    </row>
    <row r="2081" spans="41:41" x14ac:dyDescent="0.2">
      <c r="AO2081" s="85"/>
    </row>
    <row r="2082" spans="41:41" x14ac:dyDescent="0.2">
      <c r="AO2082" s="85"/>
    </row>
    <row r="2083" spans="41:41" x14ac:dyDescent="0.2">
      <c r="AO2083" s="85"/>
    </row>
    <row r="2084" spans="41:41" x14ac:dyDescent="0.2">
      <c r="AO2084" s="85"/>
    </row>
    <row r="2085" spans="41:41" x14ac:dyDescent="0.2">
      <c r="AO2085" s="85"/>
    </row>
    <row r="2086" spans="41:41" x14ac:dyDescent="0.2">
      <c r="AO2086" s="85"/>
    </row>
    <row r="2087" spans="41:41" x14ac:dyDescent="0.2">
      <c r="AO2087" s="85"/>
    </row>
    <row r="2088" spans="41:41" x14ac:dyDescent="0.2">
      <c r="AO2088" s="85"/>
    </row>
    <row r="2089" spans="41:41" x14ac:dyDescent="0.2">
      <c r="AO2089" s="85"/>
    </row>
    <row r="2090" spans="41:41" x14ac:dyDescent="0.2">
      <c r="AO2090" s="85"/>
    </row>
    <row r="2091" spans="41:41" x14ac:dyDescent="0.2">
      <c r="AO2091" s="85"/>
    </row>
    <row r="2092" spans="41:41" x14ac:dyDescent="0.2">
      <c r="AO2092" s="85"/>
    </row>
    <row r="2093" spans="41:41" x14ac:dyDescent="0.2">
      <c r="AO2093" s="85"/>
    </row>
    <row r="2094" spans="41:41" x14ac:dyDescent="0.2">
      <c r="AO2094" s="85"/>
    </row>
    <row r="2095" spans="41:41" x14ac:dyDescent="0.2">
      <c r="AO2095" s="85"/>
    </row>
    <row r="2096" spans="41:41" x14ac:dyDescent="0.2">
      <c r="AO2096" s="85"/>
    </row>
    <row r="2097" spans="41:41" x14ac:dyDescent="0.2">
      <c r="AO2097" s="85"/>
    </row>
    <row r="2098" spans="41:41" x14ac:dyDescent="0.2">
      <c r="AO2098" s="85"/>
    </row>
    <row r="2099" spans="41:41" x14ac:dyDescent="0.2">
      <c r="AO2099" s="85"/>
    </row>
    <row r="2100" spans="41:41" x14ac:dyDescent="0.2">
      <c r="AO2100" s="85"/>
    </row>
    <row r="2101" spans="41:41" x14ac:dyDescent="0.2">
      <c r="AO2101" s="85"/>
    </row>
    <row r="2102" spans="41:41" x14ac:dyDescent="0.2">
      <c r="AO2102" s="85"/>
    </row>
    <row r="2103" spans="41:41" x14ac:dyDescent="0.2">
      <c r="AO2103" s="85"/>
    </row>
    <row r="2104" spans="41:41" x14ac:dyDescent="0.2">
      <c r="AO2104" s="85"/>
    </row>
    <row r="2105" spans="41:41" x14ac:dyDescent="0.2">
      <c r="AO2105" s="85"/>
    </row>
    <row r="2106" spans="41:41" x14ac:dyDescent="0.2">
      <c r="AO2106" s="85"/>
    </row>
    <row r="2107" spans="41:41" x14ac:dyDescent="0.2">
      <c r="AO2107" s="85"/>
    </row>
    <row r="2108" spans="41:41" x14ac:dyDescent="0.2">
      <c r="AO2108" s="85"/>
    </row>
    <row r="2109" spans="41:41" x14ac:dyDescent="0.2">
      <c r="AO2109" s="85"/>
    </row>
    <row r="2110" spans="41:41" x14ac:dyDescent="0.2">
      <c r="AO2110" s="85"/>
    </row>
    <row r="2111" spans="41:41" x14ac:dyDescent="0.2">
      <c r="AO2111" s="85"/>
    </row>
    <row r="2112" spans="41:41" x14ac:dyDescent="0.2">
      <c r="AO2112" s="85"/>
    </row>
    <row r="2113" spans="41:41" x14ac:dyDescent="0.2">
      <c r="AO2113" s="85"/>
    </row>
    <row r="2114" spans="41:41" x14ac:dyDescent="0.2">
      <c r="AO2114" s="85"/>
    </row>
    <row r="2115" spans="41:41" x14ac:dyDescent="0.2">
      <c r="AO2115" s="85"/>
    </row>
    <row r="2116" spans="41:41" x14ac:dyDescent="0.2">
      <c r="AO2116" s="85"/>
    </row>
    <row r="2117" spans="41:41" x14ac:dyDescent="0.2">
      <c r="AO2117" s="85"/>
    </row>
    <row r="2118" spans="41:41" x14ac:dyDescent="0.2">
      <c r="AO2118" s="85"/>
    </row>
    <row r="2119" spans="41:41" x14ac:dyDescent="0.2">
      <c r="AO2119" s="85"/>
    </row>
    <row r="2120" spans="41:41" x14ac:dyDescent="0.2">
      <c r="AO2120" s="85"/>
    </row>
    <row r="2121" spans="41:41" x14ac:dyDescent="0.2">
      <c r="AO2121" s="85"/>
    </row>
    <row r="2122" spans="41:41" x14ac:dyDescent="0.2">
      <c r="AO2122" s="85"/>
    </row>
    <row r="2123" spans="41:41" x14ac:dyDescent="0.2">
      <c r="AO2123" s="85"/>
    </row>
    <row r="2124" spans="41:41" x14ac:dyDescent="0.2">
      <c r="AO2124" s="85"/>
    </row>
    <row r="2125" spans="41:41" x14ac:dyDescent="0.2">
      <c r="AO2125" s="85"/>
    </row>
    <row r="2126" spans="41:41" x14ac:dyDescent="0.2">
      <c r="AO2126" s="85"/>
    </row>
    <row r="2127" spans="41:41" x14ac:dyDescent="0.2">
      <c r="AO2127" s="85"/>
    </row>
    <row r="2128" spans="41:41" x14ac:dyDescent="0.2">
      <c r="AO2128" s="85"/>
    </row>
    <row r="2129" spans="41:41" x14ac:dyDescent="0.2">
      <c r="AO2129" s="85"/>
    </row>
    <row r="2130" spans="41:41" x14ac:dyDescent="0.2">
      <c r="AO2130" s="85"/>
    </row>
    <row r="2131" spans="41:41" x14ac:dyDescent="0.2">
      <c r="AO2131" s="85"/>
    </row>
    <row r="2132" spans="41:41" x14ac:dyDescent="0.2">
      <c r="AO2132" s="85"/>
    </row>
    <row r="2133" spans="41:41" x14ac:dyDescent="0.2">
      <c r="AO2133" s="85"/>
    </row>
    <row r="2134" spans="41:41" x14ac:dyDescent="0.2">
      <c r="AO2134" s="85"/>
    </row>
    <row r="2135" spans="41:41" x14ac:dyDescent="0.2">
      <c r="AO2135" s="85"/>
    </row>
    <row r="2136" spans="41:41" x14ac:dyDescent="0.2">
      <c r="AO2136" s="85"/>
    </row>
    <row r="2137" spans="41:41" x14ac:dyDescent="0.2">
      <c r="AO2137" s="85"/>
    </row>
    <row r="2138" spans="41:41" x14ac:dyDescent="0.2">
      <c r="AO2138" s="85"/>
    </row>
    <row r="2139" spans="41:41" x14ac:dyDescent="0.2">
      <c r="AO2139" s="85"/>
    </row>
    <row r="2140" spans="41:41" x14ac:dyDescent="0.2">
      <c r="AO2140" s="85"/>
    </row>
    <row r="2141" spans="41:41" x14ac:dyDescent="0.2">
      <c r="AO2141" s="85"/>
    </row>
    <row r="2142" spans="41:41" x14ac:dyDescent="0.2">
      <c r="AO2142" s="85"/>
    </row>
    <row r="2143" spans="41:41" x14ac:dyDescent="0.2">
      <c r="AO2143" s="85"/>
    </row>
    <row r="2144" spans="41:41" x14ac:dyDescent="0.2">
      <c r="AO2144" s="85"/>
    </row>
    <row r="2145" spans="41:41" x14ac:dyDescent="0.2">
      <c r="AO2145" s="85"/>
    </row>
    <row r="2146" spans="41:41" x14ac:dyDescent="0.2">
      <c r="AO2146" s="85"/>
    </row>
    <row r="2147" spans="41:41" x14ac:dyDescent="0.2">
      <c r="AO2147" s="85"/>
    </row>
    <row r="2148" spans="41:41" x14ac:dyDescent="0.2">
      <c r="AO2148" s="85"/>
    </row>
    <row r="2149" spans="41:41" x14ac:dyDescent="0.2">
      <c r="AO2149" s="85"/>
    </row>
    <row r="2150" spans="41:41" x14ac:dyDescent="0.2">
      <c r="AO2150" s="85"/>
    </row>
    <row r="2151" spans="41:41" x14ac:dyDescent="0.2">
      <c r="AO2151" s="85"/>
    </row>
    <row r="2152" spans="41:41" x14ac:dyDescent="0.2">
      <c r="AO2152" s="85"/>
    </row>
    <row r="2153" spans="41:41" x14ac:dyDescent="0.2">
      <c r="AO2153" s="85"/>
    </row>
    <row r="2154" spans="41:41" x14ac:dyDescent="0.2">
      <c r="AO2154" s="85"/>
    </row>
    <row r="2155" spans="41:41" x14ac:dyDescent="0.2">
      <c r="AO2155" s="85"/>
    </row>
    <row r="2156" spans="41:41" x14ac:dyDescent="0.2">
      <c r="AO2156" s="85"/>
    </row>
    <row r="2157" spans="41:41" x14ac:dyDescent="0.2">
      <c r="AO2157" s="85"/>
    </row>
    <row r="2158" spans="41:41" x14ac:dyDescent="0.2">
      <c r="AO2158" s="85"/>
    </row>
    <row r="2159" spans="41:41" x14ac:dyDescent="0.2">
      <c r="AO2159" s="85"/>
    </row>
    <row r="2160" spans="41:41" x14ac:dyDescent="0.2">
      <c r="AO2160" s="85"/>
    </row>
    <row r="2161" spans="41:41" x14ac:dyDescent="0.2">
      <c r="AO2161" s="85"/>
    </row>
    <row r="2162" spans="41:41" x14ac:dyDescent="0.2">
      <c r="AO2162" s="85"/>
    </row>
    <row r="2163" spans="41:41" x14ac:dyDescent="0.2">
      <c r="AO2163" s="85"/>
    </row>
    <row r="2164" spans="41:41" x14ac:dyDescent="0.2">
      <c r="AO2164" s="85"/>
    </row>
    <row r="2165" spans="41:41" x14ac:dyDescent="0.2">
      <c r="AO2165" s="85"/>
    </row>
    <row r="2166" spans="41:41" x14ac:dyDescent="0.2">
      <c r="AO2166" s="85"/>
    </row>
    <row r="2167" spans="41:41" x14ac:dyDescent="0.2">
      <c r="AO2167" s="85"/>
    </row>
    <row r="2168" spans="41:41" x14ac:dyDescent="0.2">
      <c r="AO2168" s="85"/>
    </row>
    <row r="2169" spans="41:41" x14ac:dyDescent="0.2">
      <c r="AO2169" s="85"/>
    </row>
    <row r="2170" spans="41:41" x14ac:dyDescent="0.2">
      <c r="AO2170" s="85"/>
    </row>
    <row r="2171" spans="41:41" x14ac:dyDescent="0.2">
      <c r="AO2171" s="85"/>
    </row>
    <row r="2172" spans="41:41" x14ac:dyDescent="0.2">
      <c r="AO2172" s="85"/>
    </row>
    <row r="2173" spans="41:41" x14ac:dyDescent="0.2">
      <c r="AO2173" s="85"/>
    </row>
    <row r="2174" spans="41:41" x14ac:dyDescent="0.2">
      <c r="AO2174" s="85"/>
    </row>
    <row r="2175" spans="41:41" x14ac:dyDescent="0.2">
      <c r="AO2175" s="85"/>
    </row>
    <row r="2176" spans="41:41" x14ac:dyDescent="0.2">
      <c r="AO2176" s="85"/>
    </row>
    <row r="2177" spans="41:41" x14ac:dyDescent="0.2">
      <c r="AO2177" s="85"/>
    </row>
    <row r="2178" spans="41:41" x14ac:dyDescent="0.2">
      <c r="AO2178" s="85"/>
    </row>
    <row r="2179" spans="41:41" x14ac:dyDescent="0.2">
      <c r="AO2179" s="85"/>
    </row>
    <row r="2180" spans="41:41" x14ac:dyDescent="0.2">
      <c r="AO2180" s="85"/>
    </row>
    <row r="2181" spans="41:41" x14ac:dyDescent="0.2">
      <c r="AO2181" s="85"/>
    </row>
    <row r="2182" spans="41:41" x14ac:dyDescent="0.2">
      <c r="AO2182" s="85"/>
    </row>
    <row r="2183" spans="41:41" x14ac:dyDescent="0.2">
      <c r="AO2183" s="85"/>
    </row>
    <row r="2184" spans="41:41" x14ac:dyDescent="0.2">
      <c r="AO2184" s="85"/>
    </row>
    <row r="2185" spans="41:41" x14ac:dyDescent="0.2">
      <c r="AO2185" s="85"/>
    </row>
    <row r="2186" spans="41:41" x14ac:dyDescent="0.2">
      <c r="AO2186" s="85"/>
    </row>
    <row r="2187" spans="41:41" x14ac:dyDescent="0.2">
      <c r="AO2187" s="85"/>
    </row>
    <row r="2188" spans="41:41" x14ac:dyDescent="0.2">
      <c r="AO2188" s="85"/>
    </row>
    <row r="2189" spans="41:41" x14ac:dyDescent="0.2">
      <c r="AO2189" s="85"/>
    </row>
    <row r="2190" spans="41:41" x14ac:dyDescent="0.2">
      <c r="AO2190" s="85"/>
    </row>
    <row r="2191" spans="41:41" x14ac:dyDescent="0.2">
      <c r="AO2191" s="85"/>
    </row>
    <row r="2192" spans="41:41" x14ac:dyDescent="0.2">
      <c r="AO2192" s="85"/>
    </row>
    <row r="2193" spans="41:41" x14ac:dyDescent="0.2">
      <c r="AO2193" s="85"/>
    </row>
    <row r="2194" spans="41:41" x14ac:dyDescent="0.2">
      <c r="AO2194" s="85"/>
    </row>
    <row r="2195" spans="41:41" x14ac:dyDescent="0.2">
      <c r="AO2195" s="85"/>
    </row>
    <row r="2196" spans="41:41" x14ac:dyDescent="0.2">
      <c r="AO2196" s="85"/>
    </row>
    <row r="2197" spans="41:41" x14ac:dyDescent="0.2">
      <c r="AO2197" s="85"/>
    </row>
    <row r="2198" spans="41:41" x14ac:dyDescent="0.2">
      <c r="AO2198" s="85"/>
    </row>
    <row r="2199" spans="41:41" x14ac:dyDescent="0.2">
      <c r="AO2199" s="85"/>
    </row>
    <row r="2200" spans="41:41" x14ac:dyDescent="0.2">
      <c r="AO2200" s="85"/>
    </row>
    <row r="2201" spans="41:41" x14ac:dyDescent="0.2">
      <c r="AO2201" s="85"/>
    </row>
    <row r="2202" spans="41:41" x14ac:dyDescent="0.2">
      <c r="AO2202" s="85"/>
    </row>
    <row r="2203" spans="41:41" x14ac:dyDescent="0.2">
      <c r="AO2203" s="85"/>
    </row>
    <row r="2204" spans="41:41" x14ac:dyDescent="0.2">
      <c r="AO2204" s="85"/>
    </row>
    <row r="2205" spans="41:41" x14ac:dyDescent="0.2">
      <c r="AO2205" s="85"/>
    </row>
    <row r="2206" spans="41:41" x14ac:dyDescent="0.2">
      <c r="AO2206" s="85"/>
    </row>
    <row r="2207" spans="41:41" x14ac:dyDescent="0.2">
      <c r="AO2207" s="85"/>
    </row>
    <row r="2208" spans="41:41" x14ac:dyDescent="0.2">
      <c r="AO2208" s="85"/>
    </row>
    <row r="2209" spans="41:41" x14ac:dyDescent="0.2">
      <c r="AO2209" s="85"/>
    </row>
    <row r="2210" spans="41:41" x14ac:dyDescent="0.2">
      <c r="AO2210" s="85"/>
    </row>
    <row r="2211" spans="41:41" x14ac:dyDescent="0.2">
      <c r="AO2211" s="85"/>
    </row>
    <row r="2212" spans="41:41" x14ac:dyDescent="0.2">
      <c r="AO2212" s="85"/>
    </row>
    <row r="2213" spans="41:41" x14ac:dyDescent="0.2">
      <c r="AO2213" s="85"/>
    </row>
    <row r="2214" spans="41:41" x14ac:dyDescent="0.2">
      <c r="AO2214" s="85"/>
    </row>
    <row r="2215" spans="41:41" x14ac:dyDescent="0.2">
      <c r="AO2215" s="85"/>
    </row>
    <row r="2216" spans="41:41" x14ac:dyDescent="0.2">
      <c r="AO2216" s="85"/>
    </row>
    <row r="2217" spans="41:41" x14ac:dyDescent="0.2">
      <c r="AO2217" s="85"/>
    </row>
    <row r="2218" spans="41:41" x14ac:dyDescent="0.2">
      <c r="AO2218" s="85"/>
    </row>
    <row r="2219" spans="41:41" x14ac:dyDescent="0.2">
      <c r="AO2219" s="85"/>
    </row>
    <row r="2220" spans="41:41" x14ac:dyDescent="0.2">
      <c r="AO2220" s="85"/>
    </row>
    <row r="2221" spans="41:41" x14ac:dyDescent="0.2">
      <c r="AO2221" s="85"/>
    </row>
    <row r="2222" spans="41:41" x14ac:dyDescent="0.2">
      <c r="AO2222" s="85"/>
    </row>
    <row r="2223" spans="41:41" x14ac:dyDescent="0.2">
      <c r="AO2223" s="85"/>
    </row>
    <row r="2224" spans="41:41" x14ac:dyDescent="0.2">
      <c r="AO2224" s="85"/>
    </row>
    <row r="2225" spans="41:41" x14ac:dyDescent="0.2">
      <c r="AO2225" s="85"/>
    </row>
    <row r="2226" spans="41:41" x14ac:dyDescent="0.2">
      <c r="AO2226" s="85"/>
    </row>
    <row r="2227" spans="41:41" x14ac:dyDescent="0.2">
      <c r="AO2227" s="85"/>
    </row>
    <row r="2228" spans="41:41" x14ac:dyDescent="0.2">
      <c r="AO2228" s="85"/>
    </row>
    <row r="2229" spans="41:41" x14ac:dyDescent="0.2">
      <c r="AO2229" s="85"/>
    </row>
    <row r="2230" spans="41:41" x14ac:dyDescent="0.2">
      <c r="AO2230" s="85"/>
    </row>
    <row r="2231" spans="41:41" x14ac:dyDescent="0.2">
      <c r="AO2231" s="85"/>
    </row>
    <row r="2232" spans="41:41" x14ac:dyDescent="0.2">
      <c r="AO2232" s="85"/>
    </row>
    <row r="2233" spans="41:41" x14ac:dyDescent="0.2">
      <c r="AO2233" s="85"/>
    </row>
    <row r="2234" spans="41:41" x14ac:dyDescent="0.2">
      <c r="AO2234" s="85"/>
    </row>
    <row r="2235" spans="41:41" x14ac:dyDescent="0.2">
      <c r="AO2235" s="85"/>
    </row>
    <row r="2236" spans="41:41" x14ac:dyDescent="0.2">
      <c r="AO2236" s="85"/>
    </row>
    <row r="2237" spans="41:41" x14ac:dyDescent="0.2">
      <c r="AO2237" s="85"/>
    </row>
    <row r="2238" spans="41:41" x14ac:dyDescent="0.2">
      <c r="AO2238" s="85"/>
    </row>
    <row r="2239" spans="41:41" x14ac:dyDescent="0.2">
      <c r="AO2239" s="85"/>
    </row>
    <row r="2240" spans="41:41" x14ac:dyDescent="0.2">
      <c r="AO2240" s="85"/>
    </row>
    <row r="2241" spans="41:41" x14ac:dyDescent="0.2">
      <c r="AO2241" s="85"/>
    </row>
    <row r="2242" spans="41:41" x14ac:dyDescent="0.2">
      <c r="AO2242" s="85"/>
    </row>
    <row r="2243" spans="41:41" x14ac:dyDescent="0.2">
      <c r="AO2243" s="85"/>
    </row>
    <row r="2244" spans="41:41" x14ac:dyDescent="0.2">
      <c r="AO2244" s="85"/>
    </row>
    <row r="2245" spans="41:41" x14ac:dyDescent="0.2">
      <c r="AO2245" s="85"/>
    </row>
    <row r="2246" spans="41:41" x14ac:dyDescent="0.2">
      <c r="AO2246" s="85"/>
    </row>
    <row r="2247" spans="41:41" x14ac:dyDescent="0.2">
      <c r="AO2247" s="85"/>
    </row>
    <row r="2248" spans="41:41" x14ac:dyDescent="0.2">
      <c r="AO2248" s="85"/>
    </row>
    <row r="2249" spans="41:41" x14ac:dyDescent="0.2">
      <c r="AO2249" s="85"/>
    </row>
    <row r="2250" spans="41:41" x14ac:dyDescent="0.2">
      <c r="AO2250" s="85"/>
    </row>
    <row r="2251" spans="41:41" x14ac:dyDescent="0.2">
      <c r="AO2251" s="85"/>
    </row>
    <row r="2252" spans="41:41" x14ac:dyDescent="0.2">
      <c r="AO2252" s="85"/>
    </row>
    <row r="2253" spans="41:41" x14ac:dyDescent="0.2">
      <c r="AO2253" s="85"/>
    </row>
    <row r="2254" spans="41:41" x14ac:dyDescent="0.2">
      <c r="AO2254" s="85"/>
    </row>
    <row r="2255" spans="41:41" x14ac:dyDescent="0.2">
      <c r="AO2255" s="85"/>
    </row>
    <row r="2256" spans="41:41" x14ac:dyDescent="0.2">
      <c r="AO2256" s="85"/>
    </row>
    <row r="2257" spans="41:41" x14ac:dyDescent="0.2">
      <c r="AO2257" s="85"/>
    </row>
    <row r="2258" spans="41:41" x14ac:dyDescent="0.2">
      <c r="AO2258" s="85"/>
    </row>
    <row r="2259" spans="41:41" x14ac:dyDescent="0.2">
      <c r="AO2259" s="85"/>
    </row>
    <row r="2260" spans="41:41" x14ac:dyDescent="0.2">
      <c r="AO2260" s="85"/>
    </row>
    <row r="2261" spans="41:41" x14ac:dyDescent="0.2">
      <c r="AO2261" s="85"/>
    </row>
    <row r="2262" spans="41:41" x14ac:dyDescent="0.2">
      <c r="AO2262" s="85"/>
    </row>
    <row r="2263" spans="41:41" x14ac:dyDescent="0.2">
      <c r="AO2263" s="85"/>
    </row>
    <row r="2264" spans="41:41" x14ac:dyDescent="0.2">
      <c r="AO2264" s="85"/>
    </row>
    <row r="2265" spans="41:41" x14ac:dyDescent="0.2">
      <c r="AO2265" s="85"/>
    </row>
    <row r="2266" spans="41:41" x14ac:dyDescent="0.2">
      <c r="AO2266" s="85"/>
    </row>
    <row r="2267" spans="41:41" x14ac:dyDescent="0.2">
      <c r="AO2267" s="85"/>
    </row>
    <row r="2268" spans="41:41" x14ac:dyDescent="0.2">
      <c r="AO2268" s="85"/>
    </row>
    <row r="2269" spans="41:41" x14ac:dyDescent="0.2">
      <c r="AO2269" s="85"/>
    </row>
    <row r="2270" spans="41:41" x14ac:dyDescent="0.2">
      <c r="AO2270" s="85"/>
    </row>
    <row r="2271" spans="41:41" x14ac:dyDescent="0.2">
      <c r="AO2271" s="85"/>
    </row>
    <row r="2272" spans="41:41" x14ac:dyDescent="0.2">
      <c r="AO2272" s="85"/>
    </row>
    <row r="2273" spans="41:41" x14ac:dyDescent="0.2">
      <c r="AO2273" s="85"/>
    </row>
    <row r="2274" spans="41:41" x14ac:dyDescent="0.2">
      <c r="AO2274" s="85"/>
    </row>
    <row r="2275" spans="41:41" x14ac:dyDescent="0.2">
      <c r="AO2275" s="85"/>
    </row>
    <row r="2276" spans="41:41" x14ac:dyDescent="0.2">
      <c r="AO2276" s="85"/>
    </row>
    <row r="2277" spans="41:41" x14ac:dyDescent="0.2">
      <c r="AO2277" s="85"/>
    </row>
    <row r="2278" spans="41:41" x14ac:dyDescent="0.2">
      <c r="AO2278" s="85"/>
    </row>
    <row r="2279" spans="41:41" x14ac:dyDescent="0.2">
      <c r="AO2279" s="85"/>
    </row>
    <row r="2280" spans="41:41" x14ac:dyDescent="0.2">
      <c r="AO2280" s="85"/>
    </row>
    <row r="2281" spans="41:41" x14ac:dyDescent="0.2">
      <c r="AO2281" s="85"/>
    </row>
    <row r="2282" spans="41:41" x14ac:dyDescent="0.2">
      <c r="AO2282" s="85"/>
    </row>
    <row r="2283" spans="41:41" x14ac:dyDescent="0.2">
      <c r="AO2283" s="85"/>
    </row>
    <row r="2284" spans="41:41" x14ac:dyDescent="0.2">
      <c r="AO2284" s="85"/>
    </row>
    <row r="2285" spans="41:41" x14ac:dyDescent="0.2">
      <c r="AO2285" s="85"/>
    </row>
    <row r="2286" spans="41:41" x14ac:dyDescent="0.2">
      <c r="AO2286" s="85"/>
    </row>
    <row r="2287" spans="41:41" x14ac:dyDescent="0.2">
      <c r="AO2287" s="85"/>
    </row>
    <row r="2288" spans="41:41" x14ac:dyDescent="0.2">
      <c r="AO2288" s="85"/>
    </row>
    <row r="2289" spans="41:41" x14ac:dyDescent="0.2">
      <c r="AO2289" s="85"/>
    </row>
    <row r="2290" spans="41:41" x14ac:dyDescent="0.2">
      <c r="AO2290" s="85"/>
    </row>
    <row r="2291" spans="41:41" x14ac:dyDescent="0.2">
      <c r="AO2291" s="85"/>
    </row>
    <row r="2292" spans="41:41" x14ac:dyDescent="0.2">
      <c r="AO2292" s="85"/>
    </row>
    <row r="2293" spans="41:41" x14ac:dyDescent="0.2">
      <c r="AO2293" s="85"/>
    </row>
    <row r="2294" spans="41:41" x14ac:dyDescent="0.2">
      <c r="AO2294" s="85"/>
    </row>
    <row r="2295" spans="41:41" x14ac:dyDescent="0.2">
      <c r="AO2295" s="85"/>
    </row>
    <row r="2296" spans="41:41" x14ac:dyDescent="0.2">
      <c r="AO2296" s="85"/>
    </row>
    <row r="2297" spans="41:41" x14ac:dyDescent="0.2">
      <c r="AO2297" s="85"/>
    </row>
    <row r="2298" spans="41:41" x14ac:dyDescent="0.2">
      <c r="AO2298" s="85"/>
    </row>
    <row r="2299" spans="41:41" x14ac:dyDescent="0.2">
      <c r="AO2299" s="85"/>
    </row>
    <row r="2300" spans="41:41" x14ac:dyDescent="0.2">
      <c r="AO2300" s="85"/>
    </row>
    <row r="2301" spans="41:41" x14ac:dyDescent="0.2">
      <c r="AO2301" s="85"/>
    </row>
    <row r="2302" spans="41:41" x14ac:dyDescent="0.2">
      <c r="AO2302" s="85"/>
    </row>
    <row r="2303" spans="41:41" x14ac:dyDescent="0.2">
      <c r="AO2303" s="85"/>
    </row>
    <row r="2304" spans="41:41" x14ac:dyDescent="0.2">
      <c r="AO2304" s="85"/>
    </row>
    <row r="2305" spans="41:41" x14ac:dyDescent="0.2">
      <c r="AO2305" s="85"/>
    </row>
    <row r="2306" spans="41:41" x14ac:dyDescent="0.2">
      <c r="AO2306" s="85"/>
    </row>
    <row r="2307" spans="41:41" x14ac:dyDescent="0.2">
      <c r="AO2307" s="85"/>
    </row>
    <row r="2308" spans="41:41" x14ac:dyDescent="0.2">
      <c r="AO2308" s="85"/>
    </row>
    <row r="2309" spans="41:41" x14ac:dyDescent="0.2">
      <c r="AO2309" s="85"/>
    </row>
    <row r="2310" spans="41:41" x14ac:dyDescent="0.2">
      <c r="AO2310" s="85"/>
    </row>
    <row r="2311" spans="41:41" x14ac:dyDescent="0.2">
      <c r="AO2311" s="85"/>
    </row>
    <row r="2312" spans="41:41" x14ac:dyDescent="0.2">
      <c r="AO2312" s="85"/>
    </row>
    <row r="2313" spans="41:41" x14ac:dyDescent="0.2">
      <c r="AO2313" s="85"/>
    </row>
    <row r="2314" spans="41:41" x14ac:dyDescent="0.2">
      <c r="AO2314" s="85"/>
    </row>
    <row r="2315" spans="41:41" x14ac:dyDescent="0.2">
      <c r="AO2315" s="85"/>
    </row>
    <row r="2316" spans="41:41" x14ac:dyDescent="0.2">
      <c r="AO2316" s="85"/>
    </row>
    <row r="2317" spans="41:41" x14ac:dyDescent="0.2">
      <c r="AO2317" s="85"/>
    </row>
    <row r="2318" spans="41:41" x14ac:dyDescent="0.2">
      <c r="AO2318" s="85"/>
    </row>
    <row r="2319" spans="41:41" x14ac:dyDescent="0.2">
      <c r="AO2319" s="85"/>
    </row>
    <row r="2320" spans="41:41" x14ac:dyDescent="0.2">
      <c r="AO2320" s="85"/>
    </row>
    <row r="2321" spans="41:41" x14ac:dyDescent="0.2">
      <c r="AO2321" s="85"/>
    </row>
    <row r="2322" spans="41:41" x14ac:dyDescent="0.2">
      <c r="AO2322" s="85"/>
    </row>
    <row r="2323" spans="41:41" x14ac:dyDescent="0.2">
      <c r="AO2323" s="85"/>
    </row>
    <row r="2324" spans="41:41" x14ac:dyDescent="0.2">
      <c r="AO2324" s="85"/>
    </row>
    <row r="2325" spans="41:41" x14ac:dyDescent="0.2">
      <c r="AO2325" s="85"/>
    </row>
    <row r="2326" spans="41:41" x14ac:dyDescent="0.2">
      <c r="AO2326" s="85"/>
    </row>
    <row r="2327" spans="41:41" x14ac:dyDescent="0.2">
      <c r="AO2327" s="85"/>
    </row>
    <row r="2328" spans="41:41" x14ac:dyDescent="0.2">
      <c r="AO2328" s="85"/>
    </row>
    <row r="2329" spans="41:41" x14ac:dyDescent="0.2">
      <c r="AO2329" s="85"/>
    </row>
    <row r="2330" spans="41:41" x14ac:dyDescent="0.2">
      <c r="AO2330" s="85"/>
    </row>
    <row r="2331" spans="41:41" x14ac:dyDescent="0.2">
      <c r="AO2331" s="85"/>
    </row>
    <row r="2332" spans="41:41" x14ac:dyDescent="0.2">
      <c r="AO2332" s="85"/>
    </row>
    <row r="2333" spans="41:41" x14ac:dyDescent="0.2">
      <c r="AO2333" s="85"/>
    </row>
    <row r="2334" spans="41:41" x14ac:dyDescent="0.2">
      <c r="AO2334" s="85"/>
    </row>
    <row r="2335" spans="41:41" x14ac:dyDescent="0.2">
      <c r="AO2335" s="85"/>
    </row>
    <row r="2336" spans="41:41" x14ac:dyDescent="0.2">
      <c r="AO2336" s="85"/>
    </row>
    <row r="2337" spans="41:41" x14ac:dyDescent="0.2">
      <c r="AO2337" s="85"/>
    </row>
    <row r="2338" spans="41:41" x14ac:dyDescent="0.2">
      <c r="AO2338" s="85"/>
    </row>
    <row r="2339" spans="41:41" x14ac:dyDescent="0.2">
      <c r="AO2339" s="85"/>
    </row>
    <row r="2340" spans="41:41" x14ac:dyDescent="0.2">
      <c r="AO2340" s="85"/>
    </row>
    <row r="2341" spans="41:41" x14ac:dyDescent="0.2">
      <c r="AO2341" s="85"/>
    </row>
    <row r="2342" spans="41:41" x14ac:dyDescent="0.2">
      <c r="AO2342" s="85"/>
    </row>
    <row r="2343" spans="41:41" x14ac:dyDescent="0.2">
      <c r="AO2343" s="85"/>
    </row>
    <row r="2344" spans="41:41" x14ac:dyDescent="0.2">
      <c r="AO2344" s="85"/>
    </row>
    <row r="2345" spans="41:41" x14ac:dyDescent="0.2">
      <c r="AO2345" s="85"/>
    </row>
    <row r="2346" spans="41:41" x14ac:dyDescent="0.2">
      <c r="AO2346" s="85"/>
    </row>
    <row r="2347" spans="41:41" x14ac:dyDescent="0.2">
      <c r="AO2347" s="85"/>
    </row>
    <row r="2348" spans="41:41" x14ac:dyDescent="0.2">
      <c r="AO2348" s="85"/>
    </row>
    <row r="2349" spans="41:41" x14ac:dyDescent="0.2">
      <c r="AO2349" s="85"/>
    </row>
    <row r="2350" spans="41:41" x14ac:dyDescent="0.2">
      <c r="AO2350" s="85"/>
    </row>
    <row r="2351" spans="41:41" x14ac:dyDescent="0.2">
      <c r="AO2351" s="85"/>
    </row>
    <row r="2352" spans="41:41" x14ac:dyDescent="0.2">
      <c r="AO2352" s="85"/>
    </row>
    <row r="2353" spans="41:41" x14ac:dyDescent="0.2">
      <c r="AO2353" s="85"/>
    </row>
    <row r="2354" spans="41:41" x14ac:dyDescent="0.2">
      <c r="AO2354" s="85"/>
    </row>
    <row r="2355" spans="41:41" x14ac:dyDescent="0.2">
      <c r="AO2355" s="85"/>
    </row>
    <row r="2356" spans="41:41" x14ac:dyDescent="0.2">
      <c r="AO2356" s="85"/>
    </row>
    <row r="2357" spans="41:41" x14ac:dyDescent="0.2">
      <c r="AO2357" s="85"/>
    </row>
    <row r="2358" spans="41:41" x14ac:dyDescent="0.2">
      <c r="AO2358" s="85"/>
    </row>
    <row r="2359" spans="41:41" x14ac:dyDescent="0.2">
      <c r="AO2359" s="85"/>
    </row>
    <row r="2360" spans="41:41" x14ac:dyDescent="0.2">
      <c r="AO2360" s="85"/>
    </row>
    <row r="2361" spans="41:41" x14ac:dyDescent="0.2">
      <c r="AO2361" s="85"/>
    </row>
    <row r="2362" spans="41:41" x14ac:dyDescent="0.2">
      <c r="AO2362" s="85"/>
    </row>
    <row r="2363" spans="41:41" x14ac:dyDescent="0.2">
      <c r="AO2363" s="85"/>
    </row>
    <row r="2364" spans="41:41" x14ac:dyDescent="0.2">
      <c r="AO2364" s="85"/>
    </row>
    <row r="2365" spans="41:41" x14ac:dyDescent="0.2">
      <c r="AO2365" s="85"/>
    </row>
    <row r="2366" spans="41:41" x14ac:dyDescent="0.2">
      <c r="AO2366" s="85"/>
    </row>
    <row r="2367" spans="41:41" x14ac:dyDescent="0.2">
      <c r="AO2367" s="85"/>
    </row>
    <row r="2368" spans="41:41" x14ac:dyDescent="0.2">
      <c r="AO2368" s="85"/>
    </row>
    <row r="2369" spans="41:41" x14ac:dyDescent="0.2">
      <c r="AO2369" s="85"/>
    </row>
    <row r="2370" spans="41:41" x14ac:dyDescent="0.2">
      <c r="AO2370" s="85"/>
    </row>
    <row r="2371" spans="41:41" x14ac:dyDescent="0.2">
      <c r="AO2371" s="85"/>
    </row>
    <row r="2372" spans="41:41" x14ac:dyDescent="0.2">
      <c r="AO2372" s="85"/>
    </row>
    <row r="2373" spans="41:41" x14ac:dyDescent="0.2">
      <c r="AO2373" s="85"/>
    </row>
    <row r="2374" spans="41:41" x14ac:dyDescent="0.2">
      <c r="AO2374" s="85"/>
    </row>
    <row r="2375" spans="41:41" x14ac:dyDescent="0.2">
      <c r="AO2375" s="85"/>
    </row>
    <row r="2376" spans="41:41" x14ac:dyDescent="0.2">
      <c r="AO2376" s="85"/>
    </row>
    <row r="2377" spans="41:41" x14ac:dyDescent="0.2">
      <c r="AO2377" s="85"/>
    </row>
    <row r="2378" spans="41:41" x14ac:dyDescent="0.2">
      <c r="AO2378" s="85"/>
    </row>
    <row r="2379" spans="41:41" x14ac:dyDescent="0.2">
      <c r="AO2379" s="85"/>
    </row>
    <row r="2380" spans="41:41" x14ac:dyDescent="0.2">
      <c r="AO2380" s="85"/>
    </row>
    <row r="2381" spans="41:41" x14ac:dyDescent="0.2">
      <c r="AO2381" s="85"/>
    </row>
    <row r="2382" spans="41:41" x14ac:dyDescent="0.2">
      <c r="AO2382" s="85"/>
    </row>
    <row r="2383" spans="41:41" x14ac:dyDescent="0.2">
      <c r="AO2383" s="85"/>
    </row>
    <row r="2384" spans="41:41" x14ac:dyDescent="0.2">
      <c r="AO2384" s="85"/>
    </row>
    <row r="2385" spans="41:41" x14ac:dyDescent="0.2">
      <c r="AO2385" s="85"/>
    </row>
    <row r="2386" spans="41:41" x14ac:dyDescent="0.2">
      <c r="AO2386" s="85"/>
    </row>
    <row r="2387" spans="41:41" x14ac:dyDescent="0.2">
      <c r="AO2387" s="85"/>
    </row>
    <row r="2388" spans="41:41" x14ac:dyDescent="0.2">
      <c r="AO2388" s="85"/>
    </row>
    <row r="2389" spans="41:41" x14ac:dyDescent="0.2">
      <c r="AO2389" s="85"/>
    </row>
    <row r="2390" spans="41:41" x14ac:dyDescent="0.2">
      <c r="AO2390" s="85"/>
    </row>
    <row r="2391" spans="41:41" x14ac:dyDescent="0.2">
      <c r="AO2391" s="85"/>
    </row>
    <row r="2392" spans="41:41" x14ac:dyDescent="0.2">
      <c r="AO2392" s="85"/>
    </row>
    <row r="2393" spans="41:41" x14ac:dyDescent="0.2">
      <c r="AO2393" s="85"/>
    </row>
    <row r="2394" spans="41:41" x14ac:dyDescent="0.2">
      <c r="AO2394" s="85"/>
    </row>
    <row r="2395" spans="41:41" x14ac:dyDescent="0.2">
      <c r="AO2395" s="85"/>
    </row>
    <row r="2396" spans="41:41" x14ac:dyDescent="0.2">
      <c r="AO2396" s="85"/>
    </row>
    <row r="2397" spans="41:41" x14ac:dyDescent="0.2">
      <c r="AO2397" s="85"/>
    </row>
    <row r="2398" spans="41:41" x14ac:dyDescent="0.2">
      <c r="AO2398" s="85"/>
    </row>
    <row r="2399" spans="41:41" x14ac:dyDescent="0.2">
      <c r="AO2399" s="85"/>
    </row>
    <row r="2400" spans="41:41" x14ac:dyDescent="0.2">
      <c r="AO2400" s="85"/>
    </row>
    <row r="2401" spans="41:41" x14ac:dyDescent="0.2">
      <c r="AO2401" s="85"/>
    </row>
    <row r="2402" spans="41:41" x14ac:dyDescent="0.2">
      <c r="AO2402" s="85"/>
    </row>
    <row r="2403" spans="41:41" x14ac:dyDescent="0.2">
      <c r="AO2403" s="85"/>
    </row>
    <row r="2404" spans="41:41" x14ac:dyDescent="0.2">
      <c r="AO2404" s="85"/>
    </row>
    <row r="2405" spans="41:41" x14ac:dyDescent="0.2">
      <c r="AO2405" s="85"/>
    </row>
    <row r="2406" spans="41:41" x14ac:dyDescent="0.2">
      <c r="AO2406" s="85"/>
    </row>
    <row r="2407" spans="41:41" x14ac:dyDescent="0.2">
      <c r="AO2407" s="85"/>
    </row>
    <row r="2408" spans="41:41" x14ac:dyDescent="0.2">
      <c r="AO2408" s="85"/>
    </row>
    <row r="2409" spans="41:41" x14ac:dyDescent="0.2">
      <c r="AO2409" s="85"/>
    </row>
    <row r="2410" spans="41:41" x14ac:dyDescent="0.2">
      <c r="AO2410" s="85"/>
    </row>
    <row r="2411" spans="41:41" x14ac:dyDescent="0.2">
      <c r="AO2411" s="85"/>
    </row>
    <row r="2412" spans="41:41" x14ac:dyDescent="0.2">
      <c r="AO2412" s="85"/>
    </row>
    <row r="2413" spans="41:41" x14ac:dyDescent="0.2">
      <c r="AO2413" s="85"/>
    </row>
    <row r="2414" spans="41:41" x14ac:dyDescent="0.2">
      <c r="AO2414" s="85"/>
    </row>
    <row r="2415" spans="41:41" x14ac:dyDescent="0.2">
      <c r="AO2415" s="85"/>
    </row>
    <row r="2416" spans="41:41" x14ac:dyDescent="0.2">
      <c r="AO2416" s="85"/>
    </row>
    <row r="2417" spans="41:41" x14ac:dyDescent="0.2">
      <c r="AO2417" s="85"/>
    </row>
    <row r="2418" spans="41:41" x14ac:dyDescent="0.2">
      <c r="AO2418" s="85"/>
    </row>
    <row r="2419" spans="41:41" x14ac:dyDescent="0.2">
      <c r="AO2419" s="85"/>
    </row>
    <row r="2420" spans="41:41" x14ac:dyDescent="0.2">
      <c r="AO2420" s="85"/>
    </row>
    <row r="2421" spans="41:41" x14ac:dyDescent="0.2">
      <c r="AO2421" s="85"/>
    </row>
    <row r="2422" spans="41:41" x14ac:dyDescent="0.2">
      <c r="AO2422" s="85"/>
    </row>
    <row r="2423" spans="41:41" x14ac:dyDescent="0.2">
      <c r="AO2423" s="85"/>
    </row>
    <row r="2424" spans="41:41" x14ac:dyDescent="0.2">
      <c r="AO2424" s="85"/>
    </row>
    <row r="2425" spans="41:41" x14ac:dyDescent="0.2">
      <c r="AO2425" s="85"/>
    </row>
    <row r="2426" spans="41:41" x14ac:dyDescent="0.2">
      <c r="AO2426" s="85"/>
    </row>
    <row r="2427" spans="41:41" x14ac:dyDescent="0.2">
      <c r="AO2427" s="85"/>
    </row>
    <row r="2428" spans="41:41" x14ac:dyDescent="0.2">
      <c r="AO2428" s="85"/>
    </row>
    <row r="2429" spans="41:41" x14ac:dyDescent="0.2">
      <c r="AO2429" s="85"/>
    </row>
    <row r="2430" spans="41:41" x14ac:dyDescent="0.2">
      <c r="AO2430" s="85"/>
    </row>
    <row r="2431" spans="41:41" x14ac:dyDescent="0.2">
      <c r="AO2431" s="85"/>
    </row>
    <row r="2432" spans="41:41" x14ac:dyDescent="0.2">
      <c r="AO2432" s="85"/>
    </row>
    <row r="2433" spans="41:41" x14ac:dyDescent="0.2">
      <c r="AO2433" s="85"/>
    </row>
    <row r="2434" spans="41:41" x14ac:dyDescent="0.2">
      <c r="AO2434" s="85"/>
    </row>
    <row r="2435" spans="41:41" x14ac:dyDescent="0.2">
      <c r="AO2435" s="85"/>
    </row>
    <row r="2436" spans="41:41" x14ac:dyDescent="0.2">
      <c r="AO2436" s="85"/>
    </row>
    <row r="2437" spans="41:41" x14ac:dyDescent="0.2">
      <c r="AO2437" s="85"/>
    </row>
    <row r="2438" spans="41:41" x14ac:dyDescent="0.2">
      <c r="AO2438" s="85"/>
    </row>
    <row r="2439" spans="41:41" x14ac:dyDescent="0.2">
      <c r="AO2439" s="85"/>
    </row>
    <row r="2440" spans="41:41" x14ac:dyDescent="0.2">
      <c r="AO2440" s="85"/>
    </row>
    <row r="2441" spans="41:41" x14ac:dyDescent="0.2">
      <c r="AO2441" s="85"/>
    </row>
    <row r="2442" spans="41:41" x14ac:dyDescent="0.2">
      <c r="AO2442" s="85"/>
    </row>
    <row r="2443" spans="41:41" x14ac:dyDescent="0.2">
      <c r="AO2443" s="85"/>
    </row>
    <row r="2444" spans="41:41" x14ac:dyDescent="0.2">
      <c r="AO2444" s="85"/>
    </row>
    <row r="2445" spans="41:41" x14ac:dyDescent="0.2">
      <c r="AO2445" s="85"/>
    </row>
    <row r="2446" spans="41:41" x14ac:dyDescent="0.2">
      <c r="AO2446" s="85"/>
    </row>
    <row r="2447" spans="41:41" x14ac:dyDescent="0.2">
      <c r="AO2447" s="85"/>
    </row>
    <row r="2448" spans="41:41" x14ac:dyDescent="0.2">
      <c r="AO2448" s="85"/>
    </row>
    <row r="2449" spans="41:41" x14ac:dyDescent="0.2">
      <c r="AO2449" s="85"/>
    </row>
    <row r="2450" spans="41:41" x14ac:dyDescent="0.2">
      <c r="AO2450" s="85"/>
    </row>
    <row r="2451" spans="41:41" x14ac:dyDescent="0.2">
      <c r="AO2451" s="85"/>
    </row>
    <row r="2452" spans="41:41" x14ac:dyDescent="0.2">
      <c r="AO2452" s="85"/>
    </row>
    <row r="2453" spans="41:41" x14ac:dyDescent="0.2">
      <c r="AO2453" s="85"/>
    </row>
    <row r="2454" spans="41:41" x14ac:dyDescent="0.2">
      <c r="AO2454" s="85"/>
    </row>
    <row r="2455" spans="41:41" x14ac:dyDescent="0.2">
      <c r="AO2455" s="85"/>
    </row>
    <row r="2456" spans="41:41" x14ac:dyDescent="0.2">
      <c r="AO2456" s="85"/>
    </row>
    <row r="2457" spans="41:41" x14ac:dyDescent="0.2">
      <c r="AO2457" s="85"/>
    </row>
    <row r="2458" spans="41:41" x14ac:dyDescent="0.2">
      <c r="AO2458" s="85"/>
    </row>
    <row r="2459" spans="41:41" x14ac:dyDescent="0.2">
      <c r="AO2459" s="85"/>
    </row>
    <row r="2460" spans="41:41" x14ac:dyDescent="0.2">
      <c r="AO2460" s="85"/>
    </row>
    <row r="2461" spans="41:41" x14ac:dyDescent="0.2">
      <c r="AO2461" s="85"/>
    </row>
    <row r="2462" spans="41:41" x14ac:dyDescent="0.2">
      <c r="AO2462" s="85"/>
    </row>
    <row r="2463" spans="41:41" x14ac:dyDescent="0.2">
      <c r="AO2463" s="85"/>
    </row>
    <row r="2464" spans="41:41" x14ac:dyDescent="0.2">
      <c r="AO2464" s="85"/>
    </row>
    <row r="2465" spans="41:41" x14ac:dyDescent="0.2">
      <c r="AO2465" s="85"/>
    </row>
    <row r="2466" spans="41:41" x14ac:dyDescent="0.2">
      <c r="AO2466" s="85"/>
    </row>
    <row r="2467" spans="41:41" x14ac:dyDescent="0.2">
      <c r="AO2467" s="85"/>
    </row>
    <row r="2468" spans="41:41" x14ac:dyDescent="0.2">
      <c r="AO2468" s="85"/>
    </row>
    <row r="2469" spans="41:41" x14ac:dyDescent="0.2">
      <c r="AO2469" s="85"/>
    </row>
    <row r="2470" spans="41:41" x14ac:dyDescent="0.2">
      <c r="AO2470" s="85"/>
    </row>
    <row r="2471" spans="41:41" x14ac:dyDescent="0.2">
      <c r="AO2471" s="85"/>
    </row>
    <row r="2472" spans="41:41" x14ac:dyDescent="0.2">
      <c r="AO2472" s="85"/>
    </row>
    <row r="2473" spans="41:41" x14ac:dyDescent="0.2">
      <c r="AO2473" s="85"/>
    </row>
    <row r="2474" spans="41:41" x14ac:dyDescent="0.2">
      <c r="AO2474" s="85"/>
    </row>
    <row r="2475" spans="41:41" x14ac:dyDescent="0.2">
      <c r="AO2475" s="85"/>
    </row>
    <row r="2476" spans="41:41" x14ac:dyDescent="0.2">
      <c r="AO2476" s="85"/>
    </row>
    <row r="2477" spans="41:41" x14ac:dyDescent="0.2">
      <c r="AO2477" s="85"/>
    </row>
    <row r="2478" spans="41:41" x14ac:dyDescent="0.2">
      <c r="AO2478" s="85"/>
    </row>
    <row r="2479" spans="41:41" x14ac:dyDescent="0.2">
      <c r="AO2479" s="85"/>
    </row>
    <row r="2480" spans="41:41" x14ac:dyDescent="0.2">
      <c r="AO2480" s="85"/>
    </row>
    <row r="2481" spans="41:41" x14ac:dyDescent="0.2">
      <c r="AO2481" s="85"/>
    </row>
    <row r="2482" spans="41:41" x14ac:dyDescent="0.2">
      <c r="AO2482" s="85"/>
    </row>
    <row r="2483" spans="41:41" x14ac:dyDescent="0.2">
      <c r="AO2483" s="85"/>
    </row>
    <row r="2484" spans="41:41" x14ac:dyDescent="0.2">
      <c r="AO2484" s="85"/>
    </row>
    <row r="2485" spans="41:41" x14ac:dyDescent="0.2">
      <c r="AO2485" s="85"/>
    </row>
    <row r="2486" spans="41:41" x14ac:dyDescent="0.2">
      <c r="AO2486" s="85"/>
    </row>
    <row r="2487" spans="41:41" x14ac:dyDescent="0.2">
      <c r="AO2487" s="85"/>
    </row>
    <row r="2488" spans="41:41" x14ac:dyDescent="0.2">
      <c r="AO2488" s="85"/>
    </row>
    <row r="2489" spans="41:41" x14ac:dyDescent="0.2">
      <c r="AO2489" s="85"/>
    </row>
    <row r="2490" spans="41:41" x14ac:dyDescent="0.2">
      <c r="AO2490" s="85"/>
    </row>
    <row r="2491" spans="41:41" x14ac:dyDescent="0.2">
      <c r="AO2491" s="85"/>
    </row>
    <row r="2492" spans="41:41" x14ac:dyDescent="0.2">
      <c r="AO2492" s="85"/>
    </row>
    <row r="2493" spans="41:41" x14ac:dyDescent="0.2">
      <c r="AO2493" s="85"/>
    </row>
    <row r="2494" spans="41:41" x14ac:dyDescent="0.2">
      <c r="AO2494" s="85"/>
    </row>
    <row r="2495" spans="41:41" x14ac:dyDescent="0.2">
      <c r="AO2495" s="85"/>
    </row>
    <row r="2496" spans="41:41" x14ac:dyDescent="0.2">
      <c r="AO2496" s="85"/>
    </row>
    <row r="2497" spans="41:41" x14ac:dyDescent="0.2">
      <c r="AO2497" s="85"/>
    </row>
    <row r="2498" spans="41:41" x14ac:dyDescent="0.2">
      <c r="AO2498" s="85"/>
    </row>
    <row r="2499" spans="41:41" x14ac:dyDescent="0.2">
      <c r="AO2499" s="85"/>
    </row>
    <row r="2500" spans="41:41" x14ac:dyDescent="0.2">
      <c r="AO2500" s="85"/>
    </row>
    <row r="2501" spans="41:41" x14ac:dyDescent="0.2">
      <c r="AO2501" s="85"/>
    </row>
    <row r="2502" spans="41:41" x14ac:dyDescent="0.2">
      <c r="AO2502" s="85"/>
    </row>
    <row r="2503" spans="41:41" x14ac:dyDescent="0.2">
      <c r="AO2503" s="85"/>
    </row>
    <row r="2504" spans="41:41" x14ac:dyDescent="0.2">
      <c r="AO2504" s="85"/>
    </row>
    <row r="2505" spans="41:41" x14ac:dyDescent="0.2">
      <c r="AO2505" s="85"/>
    </row>
    <row r="2506" spans="41:41" x14ac:dyDescent="0.2">
      <c r="AO2506" s="85"/>
    </row>
    <row r="2507" spans="41:41" x14ac:dyDescent="0.2">
      <c r="AO2507" s="85"/>
    </row>
    <row r="2508" spans="41:41" x14ac:dyDescent="0.2">
      <c r="AO2508" s="85"/>
    </row>
    <row r="2509" spans="41:41" x14ac:dyDescent="0.2">
      <c r="AO2509" s="85"/>
    </row>
    <row r="2510" spans="41:41" x14ac:dyDescent="0.2">
      <c r="AO2510" s="85"/>
    </row>
    <row r="2511" spans="41:41" x14ac:dyDescent="0.2">
      <c r="AO2511" s="85"/>
    </row>
    <row r="2512" spans="41:41" x14ac:dyDescent="0.2">
      <c r="AO2512" s="85"/>
    </row>
    <row r="2513" spans="41:41" x14ac:dyDescent="0.2">
      <c r="AO2513" s="85"/>
    </row>
    <row r="2514" spans="41:41" x14ac:dyDescent="0.2">
      <c r="AO2514" s="85"/>
    </row>
    <row r="2515" spans="41:41" x14ac:dyDescent="0.2">
      <c r="AO2515" s="85"/>
    </row>
    <row r="2516" spans="41:41" x14ac:dyDescent="0.2">
      <c r="AO2516" s="85"/>
    </row>
    <row r="2517" spans="41:41" x14ac:dyDescent="0.2">
      <c r="AO2517" s="85"/>
    </row>
    <row r="2518" spans="41:41" x14ac:dyDescent="0.2">
      <c r="AO2518" s="85"/>
    </row>
    <row r="2519" spans="41:41" x14ac:dyDescent="0.2">
      <c r="AO2519" s="85"/>
    </row>
    <row r="2520" spans="41:41" x14ac:dyDescent="0.2">
      <c r="AO2520" s="85"/>
    </row>
    <row r="2521" spans="41:41" x14ac:dyDescent="0.2">
      <c r="AO2521" s="85"/>
    </row>
    <row r="2522" spans="41:41" x14ac:dyDescent="0.2">
      <c r="AO2522" s="85"/>
    </row>
    <row r="2523" spans="41:41" x14ac:dyDescent="0.2">
      <c r="AO2523" s="85"/>
    </row>
    <row r="2524" spans="41:41" x14ac:dyDescent="0.2">
      <c r="AO2524" s="85"/>
    </row>
    <row r="2525" spans="41:41" x14ac:dyDescent="0.2">
      <c r="AO2525" s="85"/>
    </row>
    <row r="2526" spans="41:41" x14ac:dyDescent="0.2">
      <c r="AO2526" s="85"/>
    </row>
    <row r="2527" spans="41:41" x14ac:dyDescent="0.2">
      <c r="AO2527" s="85"/>
    </row>
    <row r="2528" spans="41:41" x14ac:dyDescent="0.2">
      <c r="AO2528" s="85"/>
    </row>
    <row r="2529" spans="41:41" x14ac:dyDescent="0.2">
      <c r="AO2529" s="85"/>
    </row>
    <row r="2530" spans="41:41" x14ac:dyDescent="0.2">
      <c r="AO2530" s="85"/>
    </row>
    <row r="2531" spans="41:41" x14ac:dyDescent="0.2">
      <c r="AO2531" s="85"/>
    </row>
    <row r="2532" spans="41:41" x14ac:dyDescent="0.2">
      <c r="AO2532" s="85"/>
    </row>
    <row r="2533" spans="41:41" x14ac:dyDescent="0.2">
      <c r="AO2533" s="85"/>
    </row>
    <row r="2534" spans="41:41" x14ac:dyDescent="0.2">
      <c r="AO2534" s="85"/>
    </row>
    <row r="2535" spans="41:41" x14ac:dyDescent="0.2">
      <c r="AO2535" s="85"/>
    </row>
    <row r="2536" spans="41:41" x14ac:dyDescent="0.2">
      <c r="AO2536" s="85"/>
    </row>
    <row r="2537" spans="41:41" x14ac:dyDescent="0.2">
      <c r="AO2537" s="85"/>
    </row>
    <row r="2538" spans="41:41" x14ac:dyDescent="0.2">
      <c r="AO2538" s="85"/>
    </row>
    <row r="2539" spans="41:41" x14ac:dyDescent="0.2">
      <c r="AO2539" s="85"/>
    </row>
    <row r="2540" spans="41:41" x14ac:dyDescent="0.2">
      <c r="AO2540" s="85"/>
    </row>
    <row r="2541" spans="41:41" x14ac:dyDescent="0.2">
      <c r="AO2541" s="85"/>
    </row>
    <row r="2542" spans="41:41" x14ac:dyDescent="0.2">
      <c r="AO2542" s="85"/>
    </row>
    <row r="2543" spans="41:41" x14ac:dyDescent="0.2">
      <c r="AO2543" s="85"/>
    </row>
    <row r="2544" spans="41:41" x14ac:dyDescent="0.2">
      <c r="AO2544" s="85"/>
    </row>
    <row r="2545" spans="41:41" x14ac:dyDescent="0.2">
      <c r="AO2545" s="85"/>
    </row>
    <row r="2546" spans="41:41" x14ac:dyDescent="0.2">
      <c r="AO2546" s="85"/>
    </row>
    <row r="2547" spans="41:41" x14ac:dyDescent="0.2">
      <c r="AO2547" s="85"/>
    </row>
    <row r="2548" spans="41:41" x14ac:dyDescent="0.2">
      <c r="AO2548" s="85"/>
    </row>
    <row r="2549" spans="41:41" x14ac:dyDescent="0.2">
      <c r="AO2549" s="85"/>
    </row>
    <row r="2550" spans="41:41" x14ac:dyDescent="0.2">
      <c r="AO2550" s="85"/>
    </row>
    <row r="2551" spans="41:41" x14ac:dyDescent="0.2">
      <c r="AO2551" s="85"/>
    </row>
    <row r="2552" spans="41:41" x14ac:dyDescent="0.2">
      <c r="AO2552" s="85"/>
    </row>
    <row r="2553" spans="41:41" x14ac:dyDescent="0.2">
      <c r="AO2553" s="85"/>
    </row>
    <row r="2554" spans="41:41" x14ac:dyDescent="0.2">
      <c r="AO2554" s="85"/>
    </row>
    <row r="2555" spans="41:41" x14ac:dyDescent="0.2">
      <c r="AO2555" s="85"/>
    </row>
    <row r="2556" spans="41:41" x14ac:dyDescent="0.2">
      <c r="AO2556" s="85"/>
    </row>
    <row r="2557" spans="41:41" x14ac:dyDescent="0.2">
      <c r="AO2557" s="85"/>
    </row>
    <row r="2558" spans="41:41" x14ac:dyDescent="0.2">
      <c r="AO2558" s="85"/>
    </row>
    <row r="2559" spans="41:41" x14ac:dyDescent="0.2">
      <c r="AO2559" s="85"/>
    </row>
    <row r="2560" spans="41:41" x14ac:dyDescent="0.2">
      <c r="AO2560" s="85"/>
    </row>
    <row r="2561" spans="41:41" x14ac:dyDescent="0.2">
      <c r="AO2561" s="85"/>
    </row>
    <row r="2562" spans="41:41" x14ac:dyDescent="0.2">
      <c r="AO2562" s="85"/>
    </row>
    <row r="2563" spans="41:41" x14ac:dyDescent="0.2">
      <c r="AO2563" s="85"/>
    </row>
    <row r="2564" spans="41:41" x14ac:dyDescent="0.2">
      <c r="AO2564" s="85"/>
    </row>
    <row r="2565" spans="41:41" x14ac:dyDescent="0.2">
      <c r="AO2565" s="85"/>
    </row>
    <row r="2566" spans="41:41" x14ac:dyDescent="0.2">
      <c r="AO2566" s="85"/>
    </row>
    <row r="2567" spans="41:41" x14ac:dyDescent="0.2">
      <c r="AO2567" s="85"/>
    </row>
    <row r="2568" spans="41:41" x14ac:dyDescent="0.2">
      <c r="AO2568" s="85"/>
    </row>
    <row r="2569" spans="41:41" x14ac:dyDescent="0.2">
      <c r="AO2569" s="85"/>
    </row>
    <row r="2570" spans="41:41" x14ac:dyDescent="0.2">
      <c r="AO2570" s="85"/>
    </row>
    <row r="2571" spans="41:41" x14ac:dyDescent="0.2">
      <c r="AO2571" s="85"/>
    </row>
    <row r="2572" spans="41:41" x14ac:dyDescent="0.2">
      <c r="AO2572" s="85"/>
    </row>
    <row r="2573" spans="41:41" x14ac:dyDescent="0.2">
      <c r="AO2573" s="85"/>
    </row>
    <row r="2574" spans="41:41" x14ac:dyDescent="0.2">
      <c r="AO2574" s="85"/>
    </row>
    <row r="2575" spans="41:41" x14ac:dyDescent="0.2">
      <c r="AO2575" s="85"/>
    </row>
    <row r="2576" spans="41:41" x14ac:dyDescent="0.2">
      <c r="AO2576" s="85"/>
    </row>
    <row r="2577" spans="41:41" x14ac:dyDescent="0.2">
      <c r="AO2577" s="85"/>
    </row>
    <row r="2578" spans="41:41" x14ac:dyDescent="0.2">
      <c r="AO2578" s="85"/>
    </row>
    <row r="2579" spans="41:41" x14ac:dyDescent="0.2">
      <c r="AO2579" s="85"/>
    </row>
    <row r="2580" spans="41:41" x14ac:dyDescent="0.2">
      <c r="AO2580" s="85"/>
    </row>
    <row r="2581" spans="41:41" x14ac:dyDescent="0.2">
      <c r="AO2581" s="85"/>
    </row>
    <row r="2582" spans="41:41" x14ac:dyDescent="0.2">
      <c r="AO2582" s="85"/>
    </row>
    <row r="2583" spans="41:41" x14ac:dyDescent="0.2">
      <c r="AO2583" s="85"/>
    </row>
    <row r="2584" spans="41:41" x14ac:dyDescent="0.2">
      <c r="AO2584" s="85"/>
    </row>
    <row r="2585" spans="41:41" x14ac:dyDescent="0.2">
      <c r="AO2585" s="85"/>
    </row>
    <row r="2586" spans="41:41" x14ac:dyDescent="0.2">
      <c r="AO2586" s="85"/>
    </row>
    <row r="2587" spans="41:41" x14ac:dyDescent="0.2">
      <c r="AO2587" s="85"/>
    </row>
    <row r="2588" spans="41:41" x14ac:dyDescent="0.2">
      <c r="AO2588" s="85"/>
    </row>
    <row r="2589" spans="41:41" x14ac:dyDescent="0.2">
      <c r="AO2589" s="85"/>
    </row>
    <row r="2590" spans="41:41" x14ac:dyDescent="0.2">
      <c r="AO2590" s="85"/>
    </row>
    <row r="2591" spans="41:41" x14ac:dyDescent="0.2">
      <c r="AO2591" s="85"/>
    </row>
    <row r="2592" spans="41:41" x14ac:dyDescent="0.2">
      <c r="AO2592" s="85"/>
    </row>
    <row r="2593" spans="41:41" x14ac:dyDescent="0.2">
      <c r="AO2593" s="85"/>
    </row>
    <row r="2594" spans="41:41" x14ac:dyDescent="0.2">
      <c r="AO2594" s="85"/>
    </row>
    <row r="2595" spans="41:41" x14ac:dyDescent="0.2">
      <c r="AO2595" s="85"/>
    </row>
    <row r="2596" spans="41:41" x14ac:dyDescent="0.2">
      <c r="AO2596" s="85"/>
    </row>
    <row r="2597" spans="41:41" x14ac:dyDescent="0.2">
      <c r="AO2597" s="85"/>
    </row>
    <row r="2598" spans="41:41" x14ac:dyDescent="0.2">
      <c r="AO2598" s="85"/>
    </row>
    <row r="2599" spans="41:41" x14ac:dyDescent="0.2">
      <c r="AO2599" s="85"/>
    </row>
    <row r="2600" spans="41:41" x14ac:dyDescent="0.2">
      <c r="AO2600" s="85"/>
    </row>
    <row r="2601" spans="41:41" x14ac:dyDescent="0.2">
      <c r="AO2601" s="85"/>
    </row>
    <row r="2602" spans="41:41" x14ac:dyDescent="0.2">
      <c r="AO2602" s="85"/>
    </row>
    <row r="2603" spans="41:41" x14ac:dyDescent="0.2">
      <c r="AO2603" s="85"/>
    </row>
    <row r="2604" spans="41:41" x14ac:dyDescent="0.2">
      <c r="AO2604" s="85"/>
    </row>
    <row r="2605" spans="41:41" x14ac:dyDescent="0.2">
      <c r="AO2605" s="85"/>
    </row>
    <row r="2606" spans="41:41" x14ac:dyDescent="0.2">
      <c r="AO2606" s="85"/>
    </row>
    <row r="2607" spans="41:41" x14ac:dyDescent="0.2">
      <c r="AO2607" s="85"/>
    </row>
    <row r="2608" spans="41:41" x14ac:dyDescent="0.2">
      <c r="AO2608" s="85"/>
    </row>
    <row r="2609" spans="41:41" x14ac:dyDescent="0.2">
      <c r="AO2609" s="85"/>
    </row>
    <row r="2610" spans="41:41" x14ac:dyDescent="0.2">
      <c r="AO2610" s="85"/>
    </row>
    <row r="2611" spans="41:41" x14ac:dyDescent="0.2">
      <c r="AO2611" s="85"/>
    </row>
    <row r="2612" spans="41:41" x14ac:dyDescent="0.2">
      <c r="AO2612" s="85"/>
    </row>
    <row r="2613" spans="41:41" x14ac:dyDescent="0.2">
      <c r="AO2613" s="85"/>
    </row>
    <row r="2614" spans="41:41" x14ac:dyDescent="0.2">
      <c r="AO2614" s="85"/>
    </row>
    <row r="2615" spans="41:41" x14ac:dyDescent="0.2">
      <c r="AO2615" s="85"/>
    </row>
    <row r="2616" spans="41:41" x14ac:dyDescent="0.2">
      <c r="AO2616" s="85"/>
    </row>
    <row r="2617" spans="41:41" x14ac:dyDescent="0.2">
      <c r="AO2617" s="85"/>
    </row>
    <row r="2618" spans="41:41" x14ac:dyDescent="0.2">
      <c r="AO2618" s="85"/>
    </row>
    <row r="2619" spans="41:41" x14ac:dyDescent="0.2">
      <c r="AO2619" s="85"/>
    </row>
    <row r="2620" spans="41:41" x14ac:dyDescent="0.2">
      <c r="AO2620" s="85"/>
    </row>
    <row r="2621" spans="41:41" x14ac:dyDescent="0.2">
      <c r="AO2621" s="85"/>
    </row>
    <row r="2622" spans="41:41" x14ac:dyDescent="0.2">
      <c r="AO2622" s="85"/>
    </row>
    <row r="2623" spans="41:41" x14ac:dyDescent="0.2">
      <c r="AO2623" s="85"/>
    </row>
    <row r="2624" spans="41:41" x14ac:dyDescent="0.2">
      <c r="AO2624" s="85"/>
    </row>
    <row r="2625" spans="41:41" x14ac:dyDescent="0.2">
      <c r="AO2625" s="85"/>
    </row>
    <row r="2626" spans="41:41" x14ac:dyDescent="0.2">
      <c r="AO2626" s="85"/>
    </row>
    <row r="2627" spans="41:41" x14ac:dyDescent="0.2">
      <c r="AO2627" s="85"/>
    </row>
    <row r="2628" spans="41:41" x14ac:dyDescent="0.2">
      <c r="AO2628" s="85"/>
    </row>
    <row r="2629" spans="41:41" x14ac:dyDescent="0.2">
      <c r="AO2629" s="85"/>
    </row>
    <row r="2630" spans="41:41" x14ac:dyDescent="0.2">
      <c r="AO2630" s="85"/>
    </row>
    <row r="2631" spans="41:41" x14ac:dyDescent="0.2">
      <c r="AO2631" s="85"/>
    </row>
    <row r="2632" spans="41:41" x14ac:dyDescent="0.2">
      <c r="AO2632" s="85"/>
    </row>
    <row r="2633" spans="41:41" x14ac:dyDescent="0.2">
      <c r="AO2633" s="85"/>
    </row>
    <row r="2634" spans="41:41" x14ac:dyDescent="0.2">
      <c r="AO2634" s="85"/>
    </row>
    <row r="2635" spans="41:41" x14ac:dyDescent="0.2">
      <c r="AO2635" s="85"/>
    </row>
    <row r="2636" spans="41:41" x14ac:dyDescent="0.2">
      <c r="AO2636" s="85"/>
    </row>
    <row r="2637" spans="41:41" x14ac:dyDescent="0.2">
      <c r="AO2637" s="85"/>
    </row>
    <row r="2638" spans="41:41" x14ac:dyDescent="0.2">
      <c r="AO2638" s="85"/>
    </row>
    <row r="2639" spans="41:41" x14ac:dyDescent="0.2">
      <c r="AO2639" s="85"/>
    </row>
    <row r="2640" spans="41:41" x14ac:dyDescent="0.2">
      <c r="AO2640" s="85"/>
    </row>
    <row r="2641" spans="41:41" x14ac:dyDescent="0.2">
      <c r="AO2641" s="85"/>
    </row>
    <row r="2642" spans="41:41" x14ac:dyDescent="0.2">
      <c r="AO2642" s="85"/>
    </row>
    <row r="2643" spans="41:41" x14ac:dyDescent="0.2">
      <c r="AO2643" s="85"/>
    </row>
    <row r="2644" spans="41:41" x14ac:dyDescent="0.2">
      <c r="AO2644" s="85"/>
    </row>
    <row r="2645" spans="41:41" x14ac:dyDescent="0.2">
      <c r="AO2645" s="85"/>
    </row>
    <row r="2646" spans="41:41" x14ac:dyDescent="0.2">
      <c r="AO2646" s="85"/>
    </row>
    <row r="2647" spans="41:41" x14ac:dyDescent="0.2">
      <c r="AO2647" s="85"/>
    </row>
    <row r="2648" spans="41:41" x14ac:dyDescent="0.2">
      <c r="AO2648" s="85"/>
    </row>
    <row r="2649" spans="41:41" x14ac:dyDescent="0.2">
      <c r="AO2649" s="85"/>
    </row>
    <row r="2650" spans="41:41" x14ac:dyDescent="0.2">
      <c r="AO2650" s="85"/>
    </row>
    <row r="2651" spans="41:41" x14ac:dyDescent="0.2">
      <c r="AO2651" s="85"/>
    </row>
    <row r="2652" spans="41:41" x14ac:dyDescent="0.2">
      <c r="AO2652" s="85"/>
    </row>
    <row r="2653" spans="41:41" x14ac:dyDescent="0.2">
      <c r="AO2653" s="85"/>
    </row>
    <row r="2654" spans="41:41" x14ac:dyDescent="0.2">
      <c r="AO2654" s="85"/>
    </row>
    <row r="2655" spans="41:41" x14ac:dyDescent="0.2">
      <c r="AO2655" s="85"/>
    </row>
    <row r="2656" spans="41:41" x14ac:dyDescent="0.2">
      <c r="AO2656" s="85"/>
    </row>
    <row r="2657" spans="41:41" x14ac:dyDescent="0.2">
      <c r="AO2657" s="85"/>
    </row>
    <row r="2658" spans="41:41" x14ac:dyDescent="0.2">
      <c r="AO2658" s="85"/>
    </row>
    <row r="2659" spans="41:41" x14ac:dyDescent="0.2">
      <c r="AO2659" s="85"/>
    </row>
    <row r="2660" spans="41:41" x14ac:dyDescent="0.2">
      <c r="AO2660" s="85"/>
    </row>
    <row r="2661" spans="41:41" x14ac:dyDescent="0.2">
      <c r="AO2661" s="85"/>
    </row>
    <row r="2662" spans="41:41" x14ac:dyDescent="0.2">
      <c r="AO2662" s="85"/>
    </row>
    <row r="2663" spans="41:41" x14ac:dyDescent="0.2">
      <c r="AO2663" s="85"/>
    </row>
    <row r="2664" spans="41:41" x14ac:dyDescent="0.2">
      <c r="AO2664" s="85"/>
    </row>
    <row r="2665" spans="41:41" x14ac:dyDescent="0.2">
      <c r="AO2665" s="85"/>
    </row>
    <row r="2666" spans="41:41" x14ac:dyDescent="0.2">
      <c r="AO2666" s="85"/>
    </row>
    <row r="2667" spans="41:41" x14ac:dyDescent="0.2">
      <c r="AO2667" s="85"/>
    </row>
    <row r="2668" spans="41:41" x14ac:dyDescent="0.2">
      <c r="AO2668" s="85"/>
    </row>
    <row r="2669" spans="41:41" x14ac:dyDescent="0.2">
      <c r="AO2669" s="85"/>
    </row>
    <row r="2670" spans="41:41" x14ac:dyDescent="0.2">
      <c r="AO2670" s="85"/>
    </row>
    <row r="2671" spans="41:41" x14ac:dyDescent="0.2">
      <c r="AO2671" s="85"/>
    </row>
    <row r="2672" spans="41:41" x14ac:dyDescent="0.2">
      <c r="AO2672" s="85"/>
    </row>
    <row r="2673" spans="41:41" x14ac:dyDescent="0.2">
      <c r="AO2673" s="85"/>
    </row>
    <row r="2674" spans="41:41" x14ac:dyDescent="0.2">
      <c r="AO2674" s="85"/>
    </row>
    <row r="2675" spans="41:41" x14ac:dyDescent="0.2">
      <c r="AO2675" s="85"/>
    </row>
    <row r="2676" spans="41:41" x14ac:dyDescent="0.2">
      <c r="AO2676" s="85"/>
    </row>
    <row r="2677" spans="41:41" x14ac:dyDescent="0.2">
      <c r="AO2677" s="85"/>
    </row>
    <row r="2678" spans="41:41" x14ac:dyDescent="0.2">
      <c r="AO2678" s="85"/>
    </row>
    <row r="2679" spans="41:41" x14ac:dyDescent="0.2">
      <c r="AO2679" s="85"/>
    </row>
    <row r="2680" spans="41:41" x14ac:dyDescent="0.2">
      <c r="AO2680" s="85"/>
    </row>
    <row r="2681" spans="41:41" x14ac:dyDescent="0.2">
      <c r="AO2681" s="85"/>
    </row>
    <row r="2682" spans="41:41" x14ac:dyDescent="0.2">
      <c r="AO2682" s="85"/>
    </row>
    <row r="2683" spans="41:41" x14ac:dyDescent="0.2">
      <c r="AO2683" s="85"/>
    </row>
    <row r="2684" spans="41:41" x14ac:dyDescent="0.2">
      <c r="AO2684" s="85"/>
    </row>
    <row r="2685" spans="41:41" x14ac:dyDescent="0.2">
      <c r="AO2685" s="85"/>
    </row>
    <row r="2686" spans="41:41" x14ac:dyDescent="0.2">
      <c r="AO2686" s="85"/>
    </row>
    <row r="2687" spans="41:41" x14ac:dyDescent="0.2">
      <c r="AO2687" s="85"/>
    </row>
    <row r="2688" spans="41:41" x14ac:dyDescent="0.2">
      <c r="AO2688" s="85"/>
    </row>
    <row r="2689" spans="41:41" x14ac:dyDescent="0.2">
      <c r="AO2689" s="85"/>
    </row>
    <row r="2690" spans="41:41" x14ac:dyDescent="0.2">
      <c r="AO2690" s="85"/>
    </row>
    <row r="2691" spans="41:41" x14ac:dyDescent="0.2">
      <c r="AO2691" s="85"/>
    </row>
    <row r="2692" spans="41:41" x14ac:dyDescent="0.2">
      <c r="AO2692" s="85"/>
    </row>
    <row r="2693" spans="41:41" x14ac:dyDescent="0.2">
      <c r="AO2693" s="85"/>
    </row>
    <row r="2694" spans="41:41" x14ac:dyDescent="0.2">
      <c r="AO2694" s="85"/>
    </row>
    <row r="2695" spans="41:41" x14ac:dyDescent="0.2">
      <c r="AO2695" s="85"/>
    </row>
    <row r="2696" spans="41:41" x14ac:dyDescent="0.2">
      <c r="AO2696" s="85"/>
    </row>
    <row r="2697" spans="41:41" x14ac:dyDescent="0.2">
      <c r="AO2697" s="85"/>
    </row>
    <row r="2698" spans="41:41" x14ac:dyDescent="0.2">
      <c r="AO2698" s="85"/>
    </row>
    <row r="2699" spans="41:41" x14ac:dyDescent="0.2">
      <c r="AO2699" s="85"/>
    </row>
    <row r="2700" spans="41:41" x14ac:dyDescent="0.2">
      <c r="AO2700" s="85"/>
    </row>
    <row r="2701" spans="41:41" x14ac:dyDescent="0.2">
      <c r="AO2701" s="85"/>
    </row>
    <row r="2702" spans="41:41" x14ac:dyDescent="0.2">
      <c r="AO2702" s="85"/>
    </row>
    <row r="2703" spans="41:41" x14ac:dyDescent="0.2">
      <c r="AO2703" s="85"/>
    </row>
    <row r="2704" spans="41:41" x14ac:dyDescent="0.2">
      <c r="AO2704" s="85"/>
    </row>
    <row r="2705" spans="41:41" x14ac:dyDescent="0.2">
      <c r="AO2705" s="85"/>
    </row>
    <row r="2706" spans="41:41" x14ac:dyDescent="0.2">
      <c r="AO2706" s="85"/>
    </row>
    <row r="2707" spans="41:41" x14ac:dyDescent="0.2">
      <c r="AO2707" s="85"/>
    </row>
    <row r="2708" spans="41:41" x14ac:dyDescent="0.2">
      <c r="AO2708" s="85"/>
    </row>
    <row r="2709" spans="41:41" x14ac:dyDescent="0.2">
      <c r="AO2709" s="85"/>
    </row>
    <row r="2710" spans="41:41" x14ac:dyDescent="0.2">
      <c r="AO2710" s="85"/>
    </row>
    <row r="2711" spans="41:41" x14ac:dyDescent="0.2">
      <c r="AO2711" s="85"/>
    </row>
    <row r="2712" spans="41:41" x14ac:dyDescent="0.2">
      <c r="AO2712" s="85"/>
    </row>
    <row r="2713" spans="41:41" x14ac:dyDescent="0.2">
      <c r="AO2713" s="85"/>
    </row>
    <row r="2714" spans="41:41" x14ac:dyDescent="0.2">
      <c r="AO2714" s="85"/>
    </row>
    <row r="2715" spans="41:41" x14ac:dyDescent="0.2">
      <c r="AO2715" s="85"/>
    </row>
    <row r="2716" spans="41:41" x14ac:dyDescent="0.2">
      <c r="AO2716" s="85"/>
    </row>
    <row r="2717" spans="41:41" x14ac:dyDescent="0.2">
      <c r="AO2717" s="85"/>
    </row>
    <row r="2718" spans="41:41" x14ac:dyDescent="0.2">
      <c r="AO2718" s="85"/>
    </row>
    <row r="2719" spans="41:41" x14ac:dyDescent="0.2">
      <c r="AO2719" s="85"/>
    </row>
    <row r="2720" spans="41:41" x14ac:dyDescent="0.2">
      <c r="AO2720" s="85"/>
    </row>
    <row r="2721" spans="41:41" x14ac:dyDescent="0.2">
      <c r="AO2721" s="85"/>
    </row>
    <row r="2722" spans="41:41" x14ac:dyDescent="0.2">
      <c r="AO2722" s="85"/>
    </row>
    <row r="2723" spans="41:41" x14ac:dyDescent="0.2">
      <c r="AO2723" s="85"/>
    </row>
    <row r="2724" spans="41:41" x14ac:dyDescent="0.2">
      <c r="AO2724" s="85"/>
    </row>
    <row r="2725" spans="41:41" x14ac:dyDescent="0.2">
      <c r="AO2725" s="85"/>
    </row>
    <row r="2726" spans="41:41" x14ac:dyDescent="0.2">
      <c r="AO2726" s="85"/>
    </row>
    <row r="2727" spans="41:41" x14ac:dyDescent="0.2">
      <c r="AO2727" s="85"/>
    </row>
    <row r="2728" spans="41:41" x14ac:dyDescent="0.2">
      <c r="AO2728" s="85"/>
    </row>
    <row r="2729" spans="41:41" x14ac:dyDescent="0.2">
      <c r="AO2729" s="85"/>
    </row>
    <row r="2730" spans="41:41" x14ac:dyDescent="0.2">
      <c r="AO2730" s="85"/>
    </row>
    <row r="2731" spans="41:41" x14ac:dyDescent="0.2">
      <c r="AO2731" s="85"/>
    </row>
    <row r="2732" spans="41:41" x14ac:dyDescent="0.2">
      <c r="AO2732" s="85"/>
    </row>
    <row r="2733" spans="41:41" x14ac:dyDescent="0.2">
      <c r="AO2733" s="85"/>
    </row>
    <row r="2734" spans="41:41" x14ac:dyDescent="0.2">
      <c r="AO2734" s="85"/>
    </row>
    <row r="2735" spans="41:41" x14ac:dyDescent="0.2">
      <c r="AO2735" s="85"/>
    </row>
    <row r="2736" spans="41:41" x14ac:dyDescent="0.2">
      <c r="AO2736" s="85"/>
    </row>
    <row r="2737" spans="41:41" x14ac:dyDescent="0.2">
      <c r="AO2737" s="85"/>
    </row>
    <row r="2738" spans="41:41" x14ac:dyDescent="0.2">
      <c r="AO2738" s="85"/>
    </row>
    <row r="2739" spans="41:41" x14ac:dyDescent="0.2">
      <c r="AO2739" s="85"/>
    </row>
    <row r="2740" spans="41:41" x14ac:dyDescent="0.2">
      <c r="AO2740" s="85"/>
    </row>
    <row r="2741" spans="41:41" x14ac:dyDescent="0.2">
      <c r="AO2741" s="85"/>
    </row>
    <row r="2742" spans="41:41" x14ac:dyDescent="0.2">
      <c r="AO2742" s="85"/>
    </row>
    <row r="2743" spans="41:41" x14ac:dyDescent="0.2">
      <c r="AO2743" s="85"/>
    </row>
    <row r="2744" spans="41:41" x14ac:dyDescent="0.2">
      <c r="AO2744" s="85"/>
    </row>
    <row r="2745" spans="41:41" x14ac:dyDescent="0.2">
      <c r="AO2745" s="85"/>
    </row>
    <row r="2746" spans="41:41" x14ac:dyDescent="0.2">
      <c r="AO2746" s="85"/>
    </row>
    <row r="2747" spans="41:41" x14ac:dyDescent="0.2">
      <c r="AO2747" s="85"/>
    </row>
    <row r="2748" spans="41:41" x14ac:dyDescent="0.2">
      <c r="AO2748" s="85"/>
    </row>
    <row r="2749" spans="41:41" x14ac:dyDescent="0.2">
      <c r="AO2749" s="85"/>
    </row>
    <row r="2750" spans="41:41" x14ac:dyDescent="0.2">
      <c r="AO2750" s="85"/>
    </row>
    <row r="2751" spans="41:41" x14ac:dyDescent="0.2">
      <c r="AO2751" s="85"/>
    </row>
    <row r="2752" spans="41:41" x14ac:dyDescent="0.2">
      <c r="AO2752" s="85"/>
    </row>
    <row r="2753" spans="41:41" x14ac:dyDescent="0.2">
      <c r="AO2753" s="85"/>
    </row>
    <row r="2754" spans="41:41" x14ac:dyDescent="0.2">
      <c r="AO2754" s="85"/>
    </row>
    <row r="2755" spans="41:41" x14ac:dyDescent="0.2">
      <c r="AO2755" s="85"/>
    </row>
    <row r="2756" spans="41:41" x14ac:dyDescent="0.2">
      <c r="AO2756" s="85"/>
    </row>
    <row r="2757" spans="41:41" x14ac:dyDescent="0.2">
      <c r="AO2757" s="85"/>
    </row>
    <row r="2758" spans="41:41" x14ac:dyDescent="0.2">
      <c r="AO2758" s="85"/>
    </row>
    <row r="2759" spans="41:41" x14ac:dyDescent="0.2">
      <c r="AO2759" s="85"/>
    </row>
    <row r="2760" spans="41:41" x14ac:dyDescent="0.2">
      <c r="AO2760" s="85"/>
    </row>
    <row r="2761" spans="41:41" x14ac:dyDescent="0.2">
      <c r="AO2761" s="85"/>
    </row>
    <row r="2762" spans="41:41" x14ac:dyDescent="0.2">
      <c r="AO2762" s="85"/>
    </row>
    <row r="2763" spans="41:41" x14ac:dyDescent="0.2">
      <c r="AO2763" s="85"/>
    </row>
    <row r="2764" spans="41:41" x14ac:dyDescent="0.2">
      <c r="AO2764" s="85"/>
    </row>
    <row r="2765" spans="41:41" x14ac:dyDescent="0.2">
      <c r="AO2765" s="85"/>
    </row>
    <row r="2766" spans="41:41" x14ac:dyDescent="0.2">
      <c r="AO2766" s="85"/>
    </row>
    <row r="2767" spans="41:41" x14ac:dyDescent="0.2">
      <c r="AO2767" s="85"/>
    </row>
    <row r="2768" spans="41:41" x14ac:dyDescent="0.2">
      <c r="AO2768" s="85"/>
    </row>
    <row r="2769" spans="41:41" x14ac:dyDescent="0.2">
      <c r="AO2769" s="85"/>
    </row>
    <row r="2770" spans="41:41" x14ac:dyDescent="0.2">
      <c r="AO2770" s="85"/>
    </row>
    <row r="2771" spans="41:41" x14ac:dyDescent="0.2">
      <c r="AO2771" s="85"/>
    </row>
    <row r="2772" spans="41:41" x14ac:dyDescent="0.2">
      <c r="AO2772" s="85"/>
    </row>
    <row r="2773" spans="41:41" x14ac:dyDescent="0.2">
      <c r="AO2773" s="85"/>
    </row>
    <row r="2774" spans="41:41" x14ac:dyDescent="0.2">
      <c r="AO2774" s="85"/>
    </row>
    <row r="2775" spans="41:41" x14ac:dyDescent="0.2">
      <c r="AO2775" s="85"/>
    </row>
    <row r="2776" spans="41:41" x14ac:dyDescent="0.2">
      <c r="AO2776" s="85"/>
    </row>
    <row r="2777" spans="41:41" x14ac:dyDescent="0.2">
      <c r="AO2777" s="85"/>
    </row>
    <row r="2778" spans="41:41" x14ac:dyDescent="0.2">
      <c r="AO2778" s="85"/>
    </row>
    <row r="2779" spans="41:41" x14ac:dyDescent="0.2">
      <c r="AO2779" s="85"/>
    </row>
    <row r="2780" spans="41:41" x14ac:dyDescent="0.2">
      <c r="AO2780" s="85"/>
    </row>
    <row r="2781" spans="41:41" x14ac:dyDescent="0.2">
      <c r="AO2781" s="85"/>
    </row>
    <row r="2782" spans="41:41" x14ac:dyDescent="0.2">
      <c r="AO2782" s="85"/>
    </row>
    <row r="2783" spans="41:41" x14ac:dyDescent="0.2">
      <c r="AO2783" s="85"/>
    </row>
    <row r="2784" spans="41:41" x14ac:dyDescent="0.2">
      <c r="AO2784" s="85"/>
    </row>
    <row r="2785" spans="41:41" x14ac:dyDescent="0.2">
      <c r="AO2785" s="85"/>
    </row>
    <row r="2786" spans="41:41" x14ac:dyDescent="0.2">
      <c r="AO2786" s="85"/>
    </row>
    <row r="2787" spans="41:41" x14ac:dyDescent="0.2">
      <c r="AO2787" s="85"/>
    </row>
    <row r="2788" spans="41:41" x14ac:dyDescent="0.2">
      <c r="AO2788" s="85"/>
    </row>
    <row r="2789" spans="41:41" x14ac:dyDescent="0.2">
      <c r="AO2789" s="85"/>
    </row>
    <row r="2790" spans="41:41" x14ac:dyDescent="0.2">
      <c r="AO2790" s="85"/>
    </row>
    <row r="2791" spans="41:41" x14ac:dyDescent="0.2">
      <c r="AO2791" s="85"/>
    </row>
    <row r="2792" spans="41:41" x14ac:dyDescent="0.2">
      <c r="AO2792" s="85"/>
    </row>
    <row r="2793" spans="41:41" x14ac:dyDescent="0.2">
      <c r="AO2793" s="85"/>
    </row>
    <row r="2794" spans="41:41" x14ac:dyDescent="0.2">
      <c r="AO2794" s="85"/>
    </row>
    <row r="2795" spans="41:41" x14ac:dyDescent="0.2">
      <c r="AO2795" s="85"/>
    </row>
    <row r="2796" spans="41:41" x14ac:dyDescent="0.2">
      <c r="AO2796" s="85"/>
    </row>
    <row r="2797" spans="41:41" x14ac:dyDescent="0.2">
      <c r="AO2797" s="85"/>
    </row>
    <row r="2798" spans="41:41" x14ac:dyDescent="0.2">
      <c r="AO2798" s="85"/>
    </row>
    <row r="2799" spans="41:41" x14ac:dyDescent="0.2">
      <c r="AO2799" s="85"/>
    </row>
    <row r="2800" spans="41:41" x14ac:dyDescent="0.2">
      <c r="AO2800" s="85"/>
    </row>
    <row r="2801" spans="41:41" x14ac:dyDescent="0.2">
      <c r="AO2801" s="85"/>
    </row>
    <row r="2802" spans="41:41" x14ac:dyDescent="0.2">
      <c r="AO2802" s="85"/>
    </row>
    <row r="2803" spans="41:41" x14ac:dyDescent="0.2">
      <c r="AO2803" s="85"/>
    </row>
    <row r="2804" spans="41:41" x14ac:dyDescent="0.2">
      <c r="AO2804" s="85"/>
    </row>
    <row r="2805" spans="41:41" x14ac:dyDescent="0.2">
      <c r="AO2805" s="85"/>
    </row>
    <row r="2806" spans="41:41" x14ac:dyDescent="0.2">
      <c r="AO2806" s="85"/>
    </row>
    <row r="2807" spans="41:41" x14ac:dyDescent="0.2">
      <c r="AO2807" s="85"/>
    </row>
    <row r="2808" spans="41:41" x14ac:dyDescent="0.2">
      <c r="AO2808" s="85"/>
    </row>
    <row r="2809" spans="41:41" x14ac:dyDescent="0.2">
      <c r="AO2809" s="85"/>
    </row>
    <row r="2810" spans="41:41" x14ac:dyDescent="0.2">
      <c r="AO2810" s="85"/>
    </row>
    <row r="2811" spans="41:41" x14ac:dyDescent="0.2">
      <c r="AO2811" s="85"/>
    </row>
    <row r="2812" spans="41:41" x14ac:dyDescent="0.2">
      <c r="AO2812" s="85"/>
    </row>
    <row r="2813" spans="41:41" x14ac:dyDescent="0.2">
      <c r="AO2813" s="85"/>
    </row>
    <row r="2814" spans="41:41" x14ac:dyDescent="0.2">
      <c r="AO2814" s="85"/>
    </row>
    <row r="2815" spans="41:41" x14ac:dyDescent="0.2">
      <c r="AO2815" s="85"/>
    </row>
    <row r="2816" spans="41:41" x14ac:dyDescent="0.2">
      <c r="AO2816" s="85"/>
    </row>
    <row r="2817" spans="41:41" x14ac:dyDescent="0.2">
      <c r="AO2817" s="85"/>
    </row>
    <row r="2818" spans="41:41" x14ac:dyDescent="0.2">
      <c r="AO2818" s="85"/>
    </row>
    <row r="2819" spans="41:41" x14ac:dyDescent="0.2">
      <c r="AO2819" s="85"/>
    </row>
    <row r="2820" spans="41:41" x14ac:dyDescent="0.2">
      <c r="AO2820" s="85"/>
    </row>
    <row r="2821" spans="41:41" x14ac:dyDescent="0.2">
      <c r="AO2821" s="85"/>
    </row>
    <row r="2822" spans="41:41" x14ac:dyDescent="0.2">
      <c r="AO2822" s="85"/>
    </row>
    <row r="2823" spans="41:41" x14ac:dyDescent="0.2">
      <c r="AO2823" s="85"/>
    </row>
    <row r="2824" spans="41:41" x14ac:dyDescent="0.2">
      <c r="AO2824" s="85"/>
    </row>
    <row r="2825" spans="41:41" x14ac:dyDescent="0.2">
      <c r="AO2825" s="85"/>
    </row>
    <row r="2826" spans="41:41" x14ac:dyDescent="0.2">
      <c r="AO2826" s="85"/>
    </row>
    <row r="2827" spans="41:41" x14ac:dyDescent="0.2">
      <c r="AO2827" s="85"/>
    </row>
    <row r="2828" spans="41:41" x14ac:dyDescent="0.2">
      <c r="AO2828" s="85"/>
    </row>
    <row r="2829" spans="41:41" x14ac:dyDescent="0.2">
      <c r="AO2829" s="85"/>
    </row>
    <row r="2830" spans="41:41" x14ac:dyDescent="0.2">
      <c r="AO2830" s="85"/>
    </row>
    <row r="2831" spans="41:41" x14ac:dyDescent="0.2">
      <c r="AO2831" s="85"/>
    </row>
    <row r="2832" spans="41:41" x14ac:dyDescent="0.2">
      <c r="AO2832" s="85"/>
    </row>
    <row r="2833" spans="41:41" x14ac:dyDescent="0.2">
      <c r="AO2833" s="85"/>
    </row>
    <row r="2834" spans="41:41" x14ac:dyDescent="0.2">
      <c r="AO2834" s="85"/>
    </row>
    <row r="2835" spans="41:41" x14ac:dyDescent="0.2">
      <c r="AO2835" s="85"/>
    </row>
    <row r="2836" spans="41:41" x14ac:dyDescent="0.2">
      <c r="AO2836" s="85"/>
    </row>
    <row r="2837" spans="41:41" x14ac:dyDescent="0.2">
      <c r="AO2837" s="85"/>
    </row>
    <row r="2838" spans="41:41" x14ac:dyDescent="0.2">
      <c r="AO2838" s="85"/>
    </row>
    <row r="2839" spans="41:41" x14ac:dyDescent="0.2">
      <c r="AO2839" s="85"/>
    </row>
    <row r="2840" spans="41:41" x14ac:dyDescent="0.2">
      <c r="AO2840" s="85"/>
    </row>
    <row r="2841" spans="41:41" x14ac:dyDescent="0.2">
      <c r="AO2841" s="85"/>
    </row>
    <row r="2842" spans="41:41" x14ac:dyDescent="0.2">
      <c r="AO2842" s="85"/>
    </row>
    <row r="2843" spans="41:41" x14ac:dyDescent="0.2">
      <c r="AO2843" s="85"/>
    </row>
    <row r="2844" spans="41:41" x14ac:dyDescent="0.2">
      <c r="AO2844" s="85"/>
    </row>
    <row r="2845" spans="41:41" x14ac:dyDescent="0.2">
      <c r="AO2845" s="85"/>
    </row>
    <row r="2846" spans="41:41" x14ac:dyDescent="0.2">
      <c r="AO2846" s="85"/>
    </row>
    <row r="2847" spans="41:41" x14ac:dyDescent="0.2">
      <c r="AO2847" s="85"/>
    </row>
    <row r="2848" spans="41:41" x14ac:dyDescent="0.2">
      <c r="AO2848" s="85"/>
    </row>
    <row r="2849" spans="41:41" x14ac:dyDescent="0.2">
      <c r="AO2849" s="85"/>
    </row>
    <row r="2850" spans="41:41" x14ac:dyDescent="0.2">
      <c r="AO2850" s="85"/>
    </row>
    <row r="2851" spans="41:41" x14ac:dyDescent="0.2">
      <c r="AO2851" s="85"/>
    </row>
    <row r="2852" spans="41:41" x14ac:dyDescent="0.2">
      <c r="AO2852" s="85"/>
    </row>
    <row r="2853" spans="41:41" x14ac:dyDescent="0.2">
      <c r="AO2853" s="85"/>
    </row>
    <row r="2854" spans="41:41" x14ac:dyDescent="0.2">
      <c r="AO2854" s="85"/>
    </row>
    <row r="2855" spans="41:41" x14ac:dyDescent="0.2">
      <c r="AO2855" s="85"/>
    </row>
    <row r="2856" spans="41:41" x14ac:dyDescent="0.2">
      <c r="AO2856" s="85"/>
    </row>
    <row r="2857" spans="41:41" x14ac:dyDescent="0.2">
      <c r="AO2857" s="85"/>
    </row>
    <row r="2858" spans="41:41" x14ac:dyDescent="0.2">
      <c r="AO2858" s="85"/>
    </row>
    <row r="2859" spans="41:41" x14ac:dyDescent="0.2">
      <c r="AO2859" s="85"/>
    </row>
    <row r="2860" spans="41:41" x14ac:dyDescent="0.2">
      <c r="AO2860" s="85"/>
    </row>
    <row r="2861" spans="41:41" x14ac:dyDescent="0.2">
      <c r="AO2861" s="85"/>
    </row>
    <row r="2862" spans="41:41" x14ac:dyDescent="0.2">
      <c r="AO2862" s="85"/>
    </row>
    <row r="2863" spans="41:41" x14ac:dyDescent="0.2">
      <c r="AO2863" s="85"/>
    </row>
    <row r="2864" spans="41:41" x14ac:dyDescent="0.2">
      <c r="AO2864" s="85"/>
    </row>
    <row r="2865" spans="41:41" x14ac:dyDescent="0.2">
      <c r="AO2865" s="85"/>
    </row>
    <row r="2866" spans="41:41" x14ac:dyDescent="0.2">
      <c r="AO2866" s="85"/>
    </row>
    <row r="2867" spans="41:41" x14ac:dyDescent="0.2">
      <c r="AO2867" s="85"/>
    </row>
    <row r="2868" spans="41:41" x14ac:dyDescent="0.2">
      <c r="AO2868" s="85"/>
    </row>
    <row r="2869" spans="41:41" x14ac:dyDescent="0.2">
      <c r="AO2869" s="85"/>
    </row>
    <row r="2870" spans="41:41" x14ac:dyDescent="0.2">
      <c r="AO2870" s="85"/>
    </row>
    <row r="2871" spans="41:41" x14ac:dyDescent="0.2">
      <c r="AO2871" s="85"/>
    </row>
    <row r="2872" spans="41:41" x14ac:dyDescent="0.2">
      <c r="AO2872" s="85"/>
    </row>
    <row r="2873" spans="41:41" x14ac:dyDescent="0.2">
      <c r="AO2873" s="85"/>
    </row>
    <row r="2874" spans="41:41" x14ac:dyDescent="0.2">
      <c r="AO2874" s="85"/>
    </row>
    <row r="2875" spans="41:41" x14ac:dyDescent="0.2">
      <c r="AO2875" s="85"/>
    </row>
    <row r="2876" spans="41:41" x14ac:dyDescent="0.2">
      <c r="AO2876" s="85"/>
    </row>
    <row r="2877" spans="41:41" x14ac:dyDescent="0.2">
      <c r="AO2877" s="85"/>
    </row>
    <row r="2878" spans="41:41" x14ac:dyDescent="0.2">
      <c r="AO2878" s="85"/>
    </row>
    <row r="2879" spans="41:41" x14ac:dyDescent="0.2">
      <c r="AO2879" s="85"/>
    </row>
    <row r="2880" spans="41:41" x14ac:dyDescent="0.2">
      <c r="AO2880" s="85"/>
    </row>
    <row r="2881" spans="41:41" x14ac:dyDescent="0.2">
      <c r="AO2881" s="85"/>
    </row>
    <row r="2882" spans="41:41" x14ac:dyDescent="0.2">
      <c r="AO2882" s="85"/>
    </row>
    <row r="2883" spans="41:41" x14ac:dyDescent="0.2">
      <c r="AO2883" s="85"/>
    </row>
    <row r="2884" spans="41:41" x14ac:dyDescent="0.2">
      <c r="AO2884" s="85"/>
    </row>
    <row r="2885" spans="41:41" x14ac:dyDescent="0.2">
      <c r="AO2885" s="85"/>
    </row>
    <row r="2886" spans="41:41" x14ac:dyDescent="0.2">
      <c r="AO2886" s="85"/>
    </row>
    <row r="2887" spans="41:41" x14ac:dyDescent="0.2">
      <c r="AO2887" s="85"/>
    </row>
    <row r="2888" spans="41:41" x14ac:dyDescent="0.2">
      <c r="AO2888" s="85"/>
    </row>
    <row r="2889" spans="41:41" x14ac:dyDescent="0.2">
      <c r="AO2889" s="85"/>
    </row>
    <row r="2890" spans="41:41" x14ac:dyDescent="0.2">
      <c r="AO2890" s="85"/>
    </row>
    <row r="2891" spans="41:41" x14ac:dyDescent="0.2">
      <c r="AO2891" s="85"/>
    </row>
    <row r="2892" spans="41:41" x14ac:dyDescent="0.2">
      <c r="AO2892" s="85"/>
    </row>
    <row r="2893" spans="41:41" x14ac:dyDescent="0.2">
      <c r="AO2893" s="85"/>
    </row>
    <row r="2894" spans="41:41" x14ac:dyDescent="0.2">
      <c r="AO2894" s="85"/>
    </row>
    <row r="2895" spans="41:41" x14ac:dyDescent="0.2">
      <c r="AO2895" s="85"/>
    </row>
    <row r="2896" spans="41:41" x14ac:dyDescent="0.2">
      <c r="AO2896" s="85"/>
    </row>
    <row r="2897" spans="41:41" x14ac:dyDescent="0.2">
      <c r="AO2897" s="85"/>
    </row>
    <row r="2898" spans="41:41" x14ac:dyDescent="0.2">
      <c r="AO2898" s="85"/>
    </row>
    <row r="2899" spans="41:41" x14ac:dyDescent="0.2">
      <c r="AO2899" s="85"/>
    </row>
    <row r="2900" spans="41:41" x14ac:dyDescent="0.2">
      <c r="AO2900" s="85"/>
    </row>
    <row r="2901" spans="41:41" x14ac:dyDescent="0.2">
      <c r="AO2901" s="85"/>
    </row>
    <row r="2902" spans="41:41" x14ac:dyDescent="0.2">
      <c r="AO2902" s="85"/>
    </row>
    <row r="2903" spans="41:41" x14ac:dyDescent="0.2">
      <c r="AO2903" s="85"/>
    </row>
    <row r="2904" spans="41:41" x14ac:dyDescent="0.2">
      <c r="AO2904" s="85"/>
    </row>
    <row r="2905" spans="41:41" x14ac:dyDescent="0.2">
      <c r="AO2905" s="85"/>
    </row>
    <row r="2906" spans="41:41" x14ac:dyDescent="0.2">
      <c r="AO2906" s="85"/>
    </row>
    <row r="2907" spans="41:41" x14ac:dyDescent="0.2">
      <c r="AO2907" s="85"/>
    </row>
    <row r="2908" spans="41:41" x14ac:dyDescent="0.2">
      <c r="AO2908" s="85"/>
    </row>
    <row r="2909" spans="41:41" x14ac:dyDescent="0.2">
      <c r="AO2909" s="85"/>
    </row>
    <row r="2910" spans="41:41" x14ac:dyDescent="0.2">
      <c r="AO2910" s="85"/>
    </row>
    <row r="2911" spans="41:41" x14ac:dyDescent="0.2">
      <c r="AO2911" s="85"/>
    </row>
    <row r="2912" spans="41:41" x14ac:dyDescent="0.2">
      <c r="AO2912" s="85"/>
    </row>
    <row r="2913" spans="41:41" x14ac:dyDescent="0.2">
      <c r="AO2913" s="85"/>
    </row>
    <row r="2914" spans="41:41" x14ac:dyDescent="0.2">
      <c r="AO2914" s="85"/>
    </row>
    <row r="2915" spans="41:41" x14ac:dyDescent="0.2">
      <c r="AO2915" s="85"/>
    </row>
    <row r="2916" spans="41:41" x14ac:dyDescent="0.2">
      <c r="AO2916" s="85"/>
    </row>
    <row r="2917" spans="41:41" x14ac:dyDescent="0.2">
      <c r="AO2917" s="85"/>
    </row>
    <row r="2918" spans="41:41" x14ac:dyDescent="0.2">
      <c r="AO2918" s="85"/>
    </row>
    <row r="2919" spans="41:41" x14ac:dyDescent="0.2">
      <c r="AO2919" s="85"/>
    </row>
    <row r="2920" spans="41:41" x14ac:dyDescent="0.2">
      <c r="AO2920" s="85"/>
    </row>
    <row r="2921" spans="41:41" x14ac:dyDescent="0.2">
      <c r="AO2921" s="85"/>
    </row>
    <row r="2922" spans="41:41" x14ac:dyDescent="0.2">
      <c r="AO2922" s="85"/>
    </row>
    <row r="2923" spans="41:41" x14ac:dyDescent="0.2">
      <c r="AO2923" s="85"/>
    </row>
    <row r="2924" spans="41:41" x14ac:dyDescent="0.2">
      <c r="AO2924" s="85"/>
    </row>
    <row r="2925" spans="41:41" x14ac:dyDescent="0.2">
      <c r="AO2925" s="85"/>
    </row>
    <row r="2926" spans="41:41" x14ac:dyDescent="0.2">
      <c r="AO2926" s="85"/>
    </row>
    <row r="2927" spans="41:41" x14ac:dyDescent="0.2">
      <c r="AO2927" s="85"/>
    </row>
    <row r="2928" spans="41:41" x14ac:dyDescent="0.2">
      <c r="AO2928" s="85"/>
    </row>
    <row r="2929" spans="41:41" x14ac:dyDescent="0.2">
      <c r="AO2929" s="85"/>
    </row>
    <row r="2930" spans="41:41" x14ac:dyDescent="0.2">
      <c r="AO2930" s="85"/>
    </row>
    <row r="2931" spans="41:41" x14ac:dyDescent="0.2">
      <c r="AO2931" s="85"/>
    </row>
    <row r="2932" spans="41:41" x14ac:dyDescent="0.2">
      <c r="AO2932" s="85"/>
    </row>
    <row r="2933" spans="41:41" x14ac:dyDescent="0.2">
      <c r="AO2933" s="85"/>
    </row>
    <row r="2934" spans="41:41" x14ac:dyDescent="0.2">
      <c r="AO2934" s="85"/>
    </row>
    <row r="2935" spans="41:41" x14ac:dyDescent="0.2">
      <c r="AO2935" s="85"/>
    </row>
    <row r="2936" spans="41:41" x14ac:dyDescent="0.2">
      <c r="AO2936" s="85"/>
    </row>
    <row r="2937" spans="41:41" x14ac:dyDescent="0.2">
      <c r="AO2937" s="85"/>
    </row>
    <row r="2938" spans="41:41" x14ac:dyDescent="0.2">
      <c r="AO2938" s="85"/>
    </row>
    <row r="2939" spans="41:41" x14ac:dyDescent="0.2">
      <c r="AO2939" s="85"/>
    </row>
    <row r="2940" spans="41:41" x14ac:dyDescent="0.2">
      <c r="AO2940" s="85"/>
    </row>
    <row r="2941" spans="41:41" x14ac:dyDescent="0.2">
      <c r="AO2941" s="85"/>
    </row>
    <row r="2942" spans="41:41" x14ac:dyDescent="0.2">
      <c r="AO2942" s="85"/>
    </row>
    <row r="2943" spans="41:41" x14ac:dyDescent="0.2">
      <c r="AO2943" s="85"/>
    </row>
    <row r="2944" spans="41:41" x14ac:dyDescent="0.2">
      <c r="AO2944" s="85"/>
    </row>
    <row r="2945" spans="41:41" x14ac:dyDescent="0.2">
      <c r="AO2945" s="85"/>
    </row>
    <row r="2946" spans="41:41" x14ac:dyDescent="0.2">
      <c r="AO2946" s="85"/>
    </row>
    <row r="2947" spans="41:41" x14ac:dyDescent="0.2">
      <c r="AO2947" s="85"/>
    </row>
    <row r="2948" spans="41:41" x14ac:dyDescent="0.2">
      <c r="AO2948" s="85"/>
    </row>
    <row r="2949" spans="41:41" x14ac:dyDescent="0.2">
      <c r="AO2949" s="85"/>
    </row>
    <row r="2950" spans="41:41" x14ac:dyDescent="0.2">
      <c r="AO2950" s="85"/>
    </row>
    <row r="2951" spans="41:41" x14ac:dyDescent="0.2">
      <c r="AO2951" s="85"/>
    </row>
    <row r="2952" spans="41:41" x14ac:dyDescent="0.2">
      <c r="AO2952" s="85"/>
    </row>
    <row r="2953" spans="41:41" x14ac:dyDescent="0.2">
      <c r="AO2953" s="85"/>
    </row>
    <row r="2954" spans="41:41" x14ac:dyDescent="0.2">
      <c r="AO2954" s="85"/>
    </row>
    <row r="2955" spans="41:41" x14ac:dyDescent="0.2">
      <c r="AO2955" s="85"/>
    </row>
    <row r="2956" spans="41:41" x14ac:dyDescent="0.2">
      <c r="AO2956" s="85"/>
    </row>
    <row r="2957" spans="41:41" x14ac:dyDescent="0.2">
      <c r="AO2957" s="85"/>
    </row>
    <row r="2958" spans="41:41" x14ac:dyDescent="0.2">
      <c r="AO2958" s="85"/>
    </row>
    <row r="2959" spans="41:41" x14ac:dyDescent="0.2">
      <c r="AO2959" s="85"/>
    </row>
    <row r="2960" spans="41:41" x14ac:dyDescent="0.2">
      <c r="AO2960" s="85"/>
    </row>
    <row r="2961" spans="41:41" x14ac:dyDescent="0.2">
      <c r="AO2961" s="85"/>
    </row>
    <row r="2962" spans="41:41" x14ac:dyDescent="0.2">
      <c r="AO2962" s="85"/>
    </row>
    <row r="2963" spans="41:41" x14ac:dyDescent="0.2">
      <c r="AO2963" s="85"/>
    </row>
    <row r="2964" spans="41:41" x14ac:dyDescent="0.2">
      <c r="AO2964" s="85"/>
    </row>
    <row r="2965" spans="41:41" x14ac:dyDescent="0.2">
      <c r="AO2965" s="85"/>
    </row>
    <row r="2966" spans="41:41" x14ac:dyDescent="0.2">
      <c r="AO2966" s="85"/>
    </row>
    <row r="2967" spans="41:41" x14ac:dyDescent="0.2">
      <c r="AO2967" s="85"/>
    </row>
    <row r="2968" spans="41:41" x14ac:dyDescent="0.2">
      <c r="AO2968" s="85"/>
    </row>
    <row r="2969" spans="41:41" x14ac:dyDescent="0.2">
      <c r="AO2969" s="85"/>
    </row>
    <row r="2970" spans="41:41" x14ac:dyDescent="0.2">
      <c r="AO2970" s="85"/>
    </row>
    <row r="2971" spans="41:41" x14ac:dyDescent="0.2">
      <c r="AO2971" s="85"/>
    </row>
    <row r="2972" spans="41:41" x14ac:dyDescent="0.2">
      <c r="AO2972" s="85"/>
    </row>
    <row r="2973" spans="41:41" x14ac:dyDescent="0.2">
      <c r="AO2973" s="85"/>
    </row>
    <row r="2974" spans="41:41" x14ac:dyDescent="0.2">
      <c r="AO2974" s="85"/>
    </row>
    <row r="2975" spans="41:41" x14ac:dyDescent="0.2">
      <c r="AO2975" s="85"/>
    </row>
    <row r="2976" spans="41:41" x14ac:dyDescent="0.2">
      <c r="AO2976" s="85"/>
    </row>
    <row r="2977" spans="41:41" x14ac:dyDescent="0.2">
      <c r="AO2977" s="85"/>
    </row>
    <row r="2978" spans="41:41" x14ac:dyDescent="0.2">
      <c r="AO2978" s="85"/>
    </row>
    <row r="2979" spans="41:41" x14ac:dyDescent="0.2">
      <c r="AO2979" s="85"/>
    </row>
    <row r="2980" spans="41:41" x14ac:dyDescent="0.2">
      <c r="AO2980" s="85"/>
    </row>
    <row r="2981" spans="41:41" x14ac:dyDescent="0.2">
      <c r="AO2981" s="85"/>
    </row>
    <row r="2982" spans="41:41" x14ac:dyDescent="0.2">
      <c r="AO2982" s="85"/>
    </row>
    <row r="2983" spans="41:41" x14ac:dyDescent="0.2">
      <c r="AO2983" s="85"/>
    </row>
    <row r="2984" spans="41:41" x14ac:dyDescent="0.2">
      <c r="AO2984" s="85"/>
    </row>
    <row r="2985" spans="41:41" x14ac:dyDescent="0.2">
      <c r="AO2985" s="85"/>
    </row>
    <row r="2986" spans="41:41" x14ac:dyDescent="0.2">
      <c r="AO2986" s="85"/>
    </row>
    <row r="2987" spans="41:41" x14ac:dyDescent="0.2">
      <c r="AO2987" s="85"/>
    </row>
    <row r="2988" spans="41:41" x14ac:dyDescent="0.2">
      <c r="AO2988" s="85"/>
    </row>
    <row r="2989" spans="41:41" x14ac:dyDescent="0.2">
      <c r="AO2989" s="85"/>
    </row>
    <row r="2990" spans="41:41" x14ac:dyDescent="0.2">
      <c r="AO2990" s="85"/>
    </row>
    <row r="2991" spans="41:41" x14ac:dyDescent="0.2">
      <c r="AO2991" s="85"/>
    </row>
    <row r="2992" spans="41:41" x14ac:dyDescent="0.2">
      <c r="AO2992" s="85"/>
    </row>
    <row r="2993" spans="41:41" x14ac:dyDescent="0.2">
      <c r="AO2993" s="85"/>
    </row>
    <row r="2994" spans="41:41" x14ac:dyDescent="0.2">
      <c r="AO2994" s="85"/>
    </row>
    <row r="2995" spans="41:41" x14ac:dyDescent="0.2">
      <c r="AO2995" s="85"/>
    </row>
    <row r="2996" spans="41:41" x14ac:dyDescent="0.2">
      <c r="AO2996" s="85"/>
    </row>
    <row r="2997" spans="41:41" x14ac:dyDescent="0.2">
      <c r="AO2997" s="85"/>
    </row>
    <row r="2998" spans="41:41" x14ac:dyDescent="0.2">
      <c r="AO2998" s="85"/>
    </row>
    <row r="2999" spans="41:41" x14ac:dyDescent="0.2">
      <c r="AO2999" s="85"/>
    </row>
    <row r="3000" spans="41:41" x14ac:dyDescent="0.2">
      <c r="AO3000" s="85"/>
    </row>
    <row r="3001" spans="41:41" x14ac:dyDescent="0.2">
      <c r="AO3001" s="85"/>
    </row>
    <row r="3002" spans="41:41" x14ac:dyDescent="0.2">
      <c r="AO3002" s="85"/>
    </row>
    <row r="3003" spans="41:41" x14ac:dyDescent="0.2">
      <c r="AO3003" s="85"/>
    </row>
    <row r="3004" spans="41:41" x14ac:dyDescent="0.2">
      <c r="AO3004" s="85"/>
    </row>
    <row r="3005" spans="41:41" x14ac:dyDescent="0.2">
      <c r="AO3005" s="85"/>
    </row>
    <row r="3006" spans="41:41" x14ac:dyDescent="0.2">
      <c r="AO3006" s="85"/>
    </row>
    <row r="3007" spans="41:41" x14ac:dyDescent="0.2">
      <c r="AO3007" s="85"/>
    </row>
    <row r="3008" spans="41:41" x14ac:dyDescent="0.2">
      <c r="AO3008" s="85"/>
    </row>
    <row r="3009" spans="41:41" x14ac:dyDescent="0.2">
      <c r="AO3009" s="85"/>
    </row>
    <row r="3010" spans="41:41" x14ac:dyDescent="0.2">
      <c r="AO3010" s="85"/>
    </row>
    <row r="3011" spans="41:41" x14ac:dyDescent="0.2">
      <c r="AO3011" s="85"/>
    </row>
    <row r="3012" spans="41:41" x14ac:dyDescent="0.2">
      <c r="AO3012" s="85"/>
    </row>
    <row r="3013" spans="41:41" x14ac:dyDescent="0.2">
      <c r="AO3013" s="85"/>
    </row>
    <row r="3014" spans="41:41" x14ac:dyDescent="0.2">
      <c r="AO3014" s="85"/>
    </row>
    <row r="3015" spans="41:41" x14ac:dyDescent="0.2">
      <c r="AO3015" s="85"/>
    </row>
    <row r="3016" spans="41:41" x14ac:dyDescent="0.2">
      <c r="AO3016" s="85"/>
    </row>
    <row r="3017" spans="41:41" x14ac:dyDescent="0.2">
      <c r="AO3017" s="85"/>
    </row>
    <row r="3018" spans="41:41" x14ac:dyDescent="0.2">
      <c r="AO3018" s="85"/>
    </row>
    <row r="3019" spans="41:41" x14ac:dyDescent="0.2">
      <c r="AO3019" s="85"/>
    </row>
    <row r="3020" spans="41:41" x14ac:dyDescent="0.2">
      <c r="AO3020" s="85"/>
    </row>
    <row r="3021" spans="41:41" x14ac:dyDescent="0.2">
      <c r="AO3021" s="85"/>
    </row>
    <row r="3022" spans="41:41" x14ac:dyDescent="0.2">
      <c r="AO3022" s="85"/>
    </row>
    <row r="3023" spans="41:41" x14ac:dyDescent="0.2">
      <c r="AO3023" s="85"/>
    </row>
    <row r="3024" spans="41:41" x14ac:dyDescent="0.2">
      <c r="AO3024" s="85"/>
    </row>
    <row r="3025" spans="41:41" x14ac:dyDescent="0.2">
      <c r="AO3025" s="85"/>
    </row>
    <row r="3026" spans="41:41" x14ac:dyDescent="0.2">
      <c r="AO3026" s="85"/>
    </row>
    <row r="3027" spans="41:41" x14ac:dyDescent="0.2">
      <c r="AO3027" s="85"/>
    </row>
    <row r="3028" spans="41:41" x14ac:dyDescent="0.2">
      <c r="AO3028" s="85"/>
    </row>
    <row r="3029" spans="41:41" x14ac:dyDescent="0.2">
      <c r="AO3029" s="85"/>
    </row>
    <row r="3030" spans="41:41" x14ac:dyDescent="0.2">
      <c r="AO3030" s="85"/>
    </row>
    <row r="3031" spans="41:41" x14ac:dyDescent="0.2">
      <c r="AO3031" s="85"/>
    </row>
    <row r="3032" spans="41:41" x14ac:dyDescent="0.2">
      <c r="AO3032" s="85"/>
    </row>
    <row r="3033" spans="41:41" x14ac:dyDescent="0.2">
      <c r="AO3033" s="85"/>
    </row>
    <row r="3034" spans="41:41" x14ac:dyDescent="0.2">
      <c r="AO3034" s="85"/>
    </row>
    <row r="3035" spans="41:41" x14ac:dyDescent="0.2">
      <c r="AO3035" s="85"/>
    </row>
    <row r="3036" spans="41:41" x14ac:dyDescent="0.2">
      <c r="AO3036" s="85"/>
    </row>
    <row r="3037" spans="41:41" x14ac:dyDescent="0.2">
      <c r="AO3037" s="85"/>
    </row>
    <row r="3038" spans="41:41" x14ac:dyDescent="0.2">
      <c r="AO3038" s="85"/>
    </row>
    <row r="3039" spans="41:41" x14ac:dyDescent="0.2">
      <c r="AO3039" s="85"/>
    </row>
    <row r="3040" spans="41:41" x14ac:dyDescent="0.2">
      <c r="AO3040" s="85"/>
    </row>
    <row r="3041" spans="41:41" x14ac:dyDescent="0.2">
      <c r="AO3041" s="85"/>
    </row>
    <row r="3042" spans="41:41" x14ac:dyDescent="0.2">
      <c r="AO3042" s="85"/>
    </row>
    <row r="3043" spans="41:41" x14ac:dyDescent="0.2">
      <c r="AO3043" s="85"/>
    </row>
    <row r="3044" spans="41:41" x14ac:dyDescent="0.2">
      <c r="AO3044" s="85"/>
    </row>
    <row r="3045" spans="41:41" x14ac:dyDescent="0.2">
      <c r="AO3045" s="85"/>
    </row>
    <row r="3046" spans="41:41" x14ac:dyDescent="0.2">
      <c r="AO3046" s="85"/>
    </row>
    <row r="3047" spans="41:41" x14ac:dyDescent="0.2">
      <c r="AO3047" s="85"/>
    </row>
    <row r="3048" spans="41:41" x14ac:dyDescent="0.2">
      <c r="AO3048" s="85"/>
    </row>
    <row r="3049" spans="41:41" x14ac:dyDescent="0.2">
      <c r="AO3049" s="85"/>
    </row>
    <row r="3050" spans="41:41" x14ac:dyDescent="0.2">
      <c r="AO3050" s="85"/>
    </row>
    <row r="3051" spans="41:41" x14ac:dyDescent="0.2">
      <c r="AO3051" s="85"/>
    </row>
    <row r="3052" spans="41:41" x14ac:dyDescent="0.2">
      <c r="AO3052" s="85"/>
    </row>
    <row r="3053" spans="41:41" x14ac:dyDescent="0.2">
      <c r="AO3053" s="85"/>
    </row>
    <row r="3054" spans="41:41" x14ac:dyDescent="0.2">
      <c r="AO3054" s="85"/>
    </row>
    <row r="3055" spans="41:41" x14ac:dyDescent="0.2">
      <c r="AO3055" s="85"/>
    </row>
    <row r="3056" spans="41:41" x14ac:dyDescent="0.2">
      <c r="AO3056" s="85"/>
    </row>
    <row r="3057" spans="41:41" x14ac:dyDescent="0.2">
      <c r="AO3057" s="85"/>
    </row>
    <row r="3058" spans="41:41" x14ac:dyDescent="0.2">
      <c r="AO3058" s="85"/>
    </row>
    <row r="3059" spans="41:41" x14ac:dyDescent="0.2">
      <c r="AO3059" s="85"/>
    </row>
    <row r="3060" spans="41:41" x14ac:dyDescent="0.2">
      <c r="AO3060" s="85"/>
    </row>
    <row r="3061" spans="41:41" x14ac:dyDescent="0.2">
      <c r="AO3061" s="85"/>
    </row>
    <row r="3062" spans="41:41" x14ac:dyDescent="0.2">
      <c r="AO3062" s="85"/>
    </row>
    <row r="3063" spans="41:41" x14ac:dyDescent="0.2">
      <c r="AO3063" s="85"/>
    </row>
    <row r="3064" spans="41:41" x14ac:dyDescent="0.2">
      <c r="AO3064" s="85"/>
    </row>
    <row r="3065" spans="41:41" x14ac:dyDescent="0.2">
      <c r="AO3065" s="85"/>
    </row>
    <row r="3066" spans="41:41" x14ac:dyDescent="0.2">
      <c r="AO3066" s="85"/>
    </row>
    <row r="3067" spans="41:41" x14ac:dyDescent="0.2">
      <c r="AO3067" s="85"/>
    </row>
    <row r="3068" spans="41:41" x14ac:dyDescent="0.2">
      <c r="AO3068" s="85"/>
    </row>
    <row r="3069" spans="41:41" x14ac:dyDescent="0.2">
      <c r="AO3069" s="85"/>
    </row>
    <row r="3070" spans="41:41" x14ac:dyDescent="0.2">
      <c r="AO3070" s="85"/>
    </row>
    <row r="3071" spans="41:41" x14ac:dyDescent="0.2">
      <c r="AO3071" s="85"/>
    </row>
    <row r="3072" spans="41:41" x14ac:dyDescent="0.2">
      <c r="AO3072" s="85"/>
    </row>
    <row r="3073" spans="41:41" x14ac:dyDescent="0.2">
      <c r="AO3073" s="85"/>
    </row>
    <row r="3074" spans="41:41" x14ac:dyDescent="0.2">
      <c r="AO3074" s="85"/>
    </row>
    <row r="3075" spans="41:41" x14ac:dyDescent="0.2">
      <c r="AO3075" s="85"/>
    </row>
    <row r="3076" spans="41:41" x14ac:dyDescent="0.2">
      <c r="AO3076" s="85"/>
    </row>
    <row r="3077" spans="41:41" x14ac:dyDescent="0.2">
      <c r="AO3077" s="85"/>
    </row>
    <row r="3078" spans="41:41" x14ac:dyDescent="0.2">
      <c r="AO3078" s="85"/>
    </row>
    <row r="3079" spans="41:41" x14ac:dyDescent="0.2">
      <c r="AO3079" s="85"/>
    </row>
    <row r="3080" spans="41:41" x14ac:dyDescent="0.2">
      <c r="AO3080" s="85"/>
    </row>
    <row r="3081" spans="41:41" x14ac:dyDescent="0.2">
      <c r="AO3081" s="85"/>
    </row>
    <row r="3082" spans="41:41" x14ac:dyDescent="0.2">
      <c r="AO3082" s="85"/>
    </row>
    <row r="3083" spans="41:41" x14ac:dyDescent="0.2">
      <c r="AO3083" s="85"/>
    </row>
    <row r="3084" spans="41:41" x14ac:dyDescent="0.2">
      <c r="AO3084" s="85"/>
    </row>
    <row r="3085" spans="41:41" x14ac:dyDescent="0.2">
      <c r="AO3085" s="85"/>
    </row>
    <row r="3086" spans="41:41" x14ac:dyDescent="0.2">
      <c r="AO3086" s="85"/>
    </row>
    <row r="3087" spans="41:41" x14ac:dyDescent="0.2">
      <c r="AO3087" s="85"/>
    </row>
    <row r="3088" spans="41:41" x14ac:dyDescent="0.2">
      <c r="AO3088" s="85"/>
    </row>
    <row r="3089" spans="41:41" x14ac:dyDescent="0.2">
      <c r="AO3089" s="85"/>
    </row>
    <row r="3090" spans="41:41" x14ac:dyDescent="0.2">
      <c r="AO3090" s="85"/>
    </row>
    <row r="3091" spans="41:41" x14ac:dyDescent="0.2">
      <c r="AO3091" s="85"/>
    </row>
    <row r="3092" spans="41:41" x14ac:dyDescent="0.2">
      <c r="AO3092" s="85"/>
    </row>
    <row r="3093" spans="41:41" x14ac:dyDescent="0.2">
      <c r="AO3093" s="85"/>
    </row>
    <row r="3094" spans="41:41" x14ac:dyDescent="0.2">
      <c r="AO3094" s="85"/>
    </row>
    <row r="3095" spans="41:41" x14ac:dyDescent="0.2">
      <c r="AO3095" s="85"/>
    </row>
    <row r="3096" spans="41:41" x14ac:dyDescent="0.2">
      <c r="AO3096" s="85"/>
    </row>
    <row r="3097" spans="41:41" x14ac:dyDescent="0.2">
      <c r="AO3097" s="85"/>
    </row>
    <row r="3098" spans="41:41" x14ac:dyDescent="0.2">
      <c r="AO3098" s="85"/>
    </row>
    <row r="3099" spans="41:41" x14ac:dyDescent="0.2">
      <c r="AO3099" s="85"/>
    </row>
    <row r="3100" spans="41:41" x14ac:dyDescent="0.2">
      <c r="AO3100" s="85"/>
    </row>
    <row r="3101" spans="41:41" x14ac:dyDescent="0.2">
      <c r="AO3101" s="85"/>
    </row>
    <row r="3102" spans="41:41" x14ac:dyDescent="0.2">
      <c r="AO3102" s="85"/>
    </row>
    <row r="3103" spans="41:41" x14ac:dyDescent="0.2">
      <c r="AO3103" s="85"/>
    </row>
    <row r="3104" spans="41:41" x14ac:dyDescent="0.2">
      <c r="AO3104" s="85"/>
    </row>
    <row r="3105" spans="41:41" x14ac:dyDescent="0.2">
      <c r="AO3105" s="85"/>
    </row>
    <row r="3106" spans="41:41" x14ac:dyDescent="0.2">
      <c r="AO3106" s="85"/>
    </row>
    <row r="3107" spans="41:41" x14ac:dyDescent="0.2">
      <c r="AO3107" s="85"/>
    </row>
    <row r="3108" spans="41:41" x14ac:dyDescent="0.2">
      <c r="AO3108" s="85"/>
    </row>
    <row r="3109" spans="41:41" x14ac:dyDescent="0.2">
      <c r="AO3109" s="85"/>
    </row>
    <row r="3110" spans="41:41" x14ac:dyDescent="0.2">
      <c r="AO3110" s="85"/>
    </row>
    <row r="3111" spans="41:41" x14ac:dyDescent="0.2">
      <c r="AO3111" s="85"/>
    </row>
    <row r="3112" spans="41:41" x14ac:dyDescent="0.2">
      <c r="AO3112" s="85"/>
    </row>
    <row r="3113" spans="41:41" x14ac:dyDescent="0.2">
      <c r="AO3113" s="85"/>
    </row>
    <row r="3114" spans="41:41" x14ac:dyDescent="0.2">
      <c r="AO3114" s="85"/>
    </row>
    <row r="3115" spans="41:41" x14ac:dyDescent="0.2">
      <c r="AO3115" s="85"/>
    </row>
    <row r="3116" spans="41:41" x14ac:dyDescent="0.2">
      <c r="AO3116" s="85"/>
    </row>
    <row r="3117" spans="41:41" x14ac:dyDescent="0.2">
      <c r="AO3117" s="85"/>
    </row>
    <row r="3118" spans="41:41" x14ac:dyDescent="0.2">
      <c r="AO3118" s="85"/>
    </row>
    <row r="3119" spans="41:41" x14ac:dyDescent="0.2">
      <c r="AO3119" s="85"/>
    </row>
    <row r="3120" spans="41:41" x14ac:dyDescent="0.2">
      <c r="AO3120" s="85"/>
    </row>
    <row r="3121" spans="41:41" x14ac:dyDescent="0.2">
      <c r="AO3121" s="85"/>
    </row>
    <row r="3122" spans="41:41" x14ac:dyDescent="0.2">
      <c r="AO3122" s="85"/>
    </row>
    <row r="3123" spans="41:41" x14ac:dyDescent="0.2">
      <c r="AO3123" s="85"/>
    </row>
    <row r="3124" spans="41:41" x14ac:dyDescent="0.2">
      <c r="AO3124" s="85"/>
    </row>
    <row r="3125" spans="41:41" x14ac:dyDescent="0.2">
      <c r="AO3125" s="85"/>
    </row>
    <row r="3126" spans="41:41" x14ac:dyDescent="0.2">
      <c r="AO3126" s="85"/>
    </row>
    <row r="3127" spans="41:41" x14ac:dyDescent="0.2">
      <c r="AO3127" s="85"/>
    </row>
    <row r="3128" spans="41:41" x14ac:dyDescent="0.2">
      <c r="AO3128" s="85"/>
    </row>
    <row r="3129" spans="41:41" x14ac:dyDescent="0.2">
      <c r="AO3129" s="85"/>
    </row>
    <row r="3130" spans="41:41" x14ac:dyDescent="0.2">
      <c r="AO3130" s="85"/>
    </row>
    <row r="3131" spans="41:41" x14ac:dyDescent="0.2">
      <c r="AO3131" s="85"/>
    </row>
    <row r="3132" spans="41:41" x14ac:dyDescent="0.2">
      <c r="AO3132" s="85"/>
    </row>
    <row r="3133" spans="41:41" x14ac:dyDescent="0.2">
      <c r="AO3133" s="85"/>
    </row>
    <row r="3134" spans="41:41" x14ac:dyDescent="0.2">
      <c r="AO3134" s="85"/>
    </row>
    <row r="3135" spans="41:41" x14ac:dyDescent="0.2">
      <c r="AO3135" s="85"/>
    </row>
    <row r="3136" spans="41:41" x14ac:dyDescent="0.2">
      <c r="AO3136" s="85"/>
    </row>
    <row r="3137" spans="41:41" x14ac:dyDescent="0.2">
      <c r="AO3137" s="85"/>
    </row>
    <row r="3138" spans="41:41" x14ac:dyDescent="0.2">
      <c r="AO3138" s="85"/>
    </row>
    <row r="3139" spans="41:41" x14ac:dyDescent="0.2">
      <c r="AO3139" s="85"/>
    </row>
    <row r="3140" spans="41:41" x14ac:dyDescent="0.2">
      <c r="AO3140" s="85"/>
    </row>
    <row r="3141" spans="41:41" x14ac:dyDescent="0.2">
      <c r="AO3141" s="85"/>
    </row>
    <row r="3142" spans="41:41" x14ac:dyDescent="0.2">
      <c r="AO3142" s="85"/>
    </row>
    <row r="3143" spans="41:41" x14ac:dyDescent="0.2">
      <c r="AO3143" s="85"/>
    </row>
    <row r="3144" spans="41:41" x14ac:dyDescent="0.2">
      <c r="AO3144" s="85"/>
    </row>
    <row r="3145" spans="41:41" x14ac:dyDescent="0.2">
      <c r="AO3145" s="85"/>
    </row>
    <row r="3146" spans="41:41" x14ac:dyDescent="0.2">
      <c r="AO3146" s="85"/>
    </row>
    <row r="3147" spans="41:41" x14ac:dyDescent="0.2">
      <c r="AO3147" s="85"/>
    </row>
    <row r="3148" spans="41:41" x14ac:dyDescent="0.2">
      <c r="AO3148" s="85"/>
    </row>
    <row r="3149" spans="41:41" x14ac:dyDescent="0.2">
      <c r="AO3149" s="85"/>
    </row>
    <row r="3150" spans="41:41" x14ac:dyDescent="0.2">
      <c r="AO3150" s="85"/>
    </row>
    <row r="3151" spans="41:41" x14ac:dyDescent="0.2">
      <c r="AO3151" s="85"/>
    </row>
    <row r="3152" spans="41:41" x14ac:dyDescent="0.2">
      <c r="AO3152" s="85"/>
    </row>
    <row r="3153" spans="41:41" x14ac:dyDescent="0.2">
      <c r="AO3153" s="85"/>
    </row>
    <row r="3154" spans="41:41" x14ac:dyDescent="0.2">
      <c r="AO3154" s="85"/>
    </row>
    <row r="3155" spans="41:41" x14ac:dyDescent="0.2">
      <c r="AO3155" s="85"/>
    </row>
    <row r="3156" spans="41:41" x14ac:dyDescent="0.2">
      <c r="AO3156" s="85"/>
    </row>
    <row r="3157" spans="41:41" x14ac:dyDescent="0.2">
      <c r="AO3157" s="85"/>
    </row>
    <row r="3158" spans="41:41" x14ac:dyDescent="0.2">
      <c r="AO3158" s="85"/>
    </row>
    <row r="3159" spans="41:41" x14ac:dyDescent="0.2">
      <c r="AO3159" s="85"/>
    </row>
    <row r="3160" spans="41:41" x14ac:dyDescent="0.2">
      <c r="AO3160" s="85"/>
    </row>
    <row r="3161" spans="41:41" x14ac:dyDescent="0.2">
      <c r="AO3161" s="85"/>
    </row>
    <row r="3162" spans="41:41" x14ac:dyDescent="0.2">
      <c r="AO3162" s="85"/>
    </row>
    <row r="3163" spans="41:41" x14ac:dyDescent="0.2">
      <c r="AO3163" s="85"/>
    </row>
    <row r="3164" spans="41:41" x14ac:dyDescent="0.2">
      <c r="AO3164" s="85"/>
    </row>
    <row r="3165" spans="41:41" x14ac:dyDescent="0.2">
      <c r="AO3165" s="85"/>
    </row>
    <row r="3166" spans="41:41" x14ac:dyDescent="0.2">
      <c r="AO3166" s="85"/>
    </row>
    <row r="3167" spans="41:41" x14ac:dyDescent="0.2">
      <c r="AO3167" s="85"/>
    </row>
    <row r="3168" spans="41:41" x14ac:dyDescent="0.2">
      <c r="AO3168" s="85"/>
    </row>
    <row r="3169" spans="41:41" x14ac:dyDescent="0.2">
      <c r="AO3169" s="85"/>
    </row>
    <row r="3170" spans="41:41" x14ac:dyDescent="0.2">
      <c r="AO3170" s="85"/>
    </row>
    <row r="3171" spans="41:41" x14ac:dyDescent="0.2">
      <c r="AO3171" s="85"/>
    </row>
    <row r="3172" spans="41:41" x14ac:dyDescent="0.2">
      <c r="AO3172" s="85"/>
    </row>
    <row r="3173" spans="41:41" x14ac:dyDescent="0.2">
      <c r="AO3173" s="85"/>
    </row>
    <row r="3174" spans="41:41" x14ac:dyDescent="0.2">
      <c r="AO3174" s="85"/>
    </row>
    <row r="3175" spans="41:41" x14ac:dyDescent="0.2">
      <c r="AO3175" s="85"/>
    </row>
    <row r="3176" spans="41:41" x14ac:dyDescent="0.2">
      <c r="AO3176" s="85"/>
    </row>
    <row r="3177" spans="41:41" x14ac:dyDescent="0.2">
      <c r="AO3177" s="85"/>
    </row>
    <row r="3178" spans="41:41" x14ac:dyDescent="0.2">
      <c r="AO3178" s="85"/>
    </row>
    <row r="3179" spans="41:41" x14ac:dyDescent="0.2">
      <c r="AO3179" s="85"/>
    </row>
    <row r="3180" spans="41:41" x14ac:dyDescent="0.2">
      <c r="AO3180" s="85"/>
    </row>
    <row r="3181" spans="41:41" x14ac:dyDescent="0.2">
      <c r="AO3181" s="85"/>
    </row>
    <row r="3182" spans="41:41" x14ac:dyDescent="0.2">
      <c r="AO3182" s="85"/>
    </row>
    <row r="3183" spans="41:41" x14ac:dyDescent="0.2">
      <c r="AO3183" s="85"/>
    </row>
    <row r="3184" spans="41:41" x14ac:dyDescent="0.2">
      <c r="AO3184" s="85"/>
    </row>
    <row r="3185" spans="41:41" x14ac:dyDescent="0.2">
      <c r="AO3185" s="85"/>
    </row>
    <row r="3186" spans="41:41" x14ac:dyDescent="0.2">
      <c r="AO3186" s="85"/>
    </row>
    <row r="3187" spans="41:41" x14ac:dyDescent="0.2">
      <c r="AO3187" s="85"/>
    </row>
    <row r="3188" spans="41:41" x14ac:dyDescent="0.2">
      <c r="AO3188" s="85"/>
    </row>
    <row r="3189" spans="41:41" x14ac:dyDescent="0.2">
      <c r="AO3189" s="85"/>
    </row>
    <row r="3190" spans="41:41" x14ac:dyDescent="0.2">
      <c r="AO3190" s="85"/>
    </row>
  </sheetData>
  <mergeCells count="141">
    <mergeCell ref="B60:D60"/>
    <mergeCell ref="G60:H60"/>
    <mergeCell ref="AH12:AJ12"/>
    <mergeCell ref="B57:D57"/>
    <mergeCell ref="G57:H57"/>
    <mergeCell ref="B58:D58"/>
    <mergeCell ref="G58:H58"/>
    <mergeCell ref="B59:D59"/>
    <mergeCell ref="G59:H59"/>
    <mergeCell ref="B54:D54"/>
    <mergeCell ref="G54:H54"/>
    <mergeCell ref="B55:D55"/>
    <mergeCell ref="G55:H55"/>
    <mergeCell ref="B56:D56"/>
    <mergeCell ref="G56:H56"/>
    <mergeCell ref="B51:D51"/>
    <mergeCell ref="G51:H51"/>
    <mergeCell ref="B52:D52"/>
    <mergeCell ref="G52:H52"/>
    <mergeCell ref="B53:D53"/>
    <mergeCell ref="G53:H53"/>
    <mergeCell ref="B48:D48"/>
    <mergeCell ref="G48:H48"/>
    <mergeCell ref="B49:D49"/>
    <mergeCell ref="G49:H49"/>
    <mergeCell ref="B50:D50"/>
    <mergeCell ref="G50:H50"/>
    <mergeCell ref="B45:D45"/>
    <mergeCell ref="G45:H45"/>
    <mergeCell ref="B46:D46"/>
    <mergeCell ref="G46:H46"/>
    <mergeCell ref="B47:D47"/>
    <mergeCell ref="G47:H47"/>
    <mergeCell ref="A12:A13"/>
    <mergeCell ref="B12:D13"/>
    <mergeCell ref="G12:H13"/>
    <mergeCell ref="B34:D34"/>
    <mergeCell ref="B35:D35"/>
    <mergeCell ref="AK12:AK13"/>
    <mergeCell ref="K12:M12"/>
    <mergeCell ref="O12:Q12"/>
    <mergeCell ref="R12:T12"/>
    <mergeCell ref="V12:X12"/>
    <mergeCell ref="B31:D31"/>
    <mergeCell ref="B32:D32"/>
    <mergeCell ref="B33:D33"/>
    <mergeCell ref="B21:D21"/>
    <mergeCell ref="B16:D16"/>
    <mergeCell ref="B17:D17"/>
    <mergeCell ref="B18:D18"/>
    <mergeCell ref="U12:U13"/>
    <mergeCell ref="AG12:AG13"/>
    <mergeCell ref="Y12:Y13"/>
    <mergeCell ref="Z12:Z13"/>
    <mergeCell ref="B22:D22"/>
    <mergeCell ref="B23:D23"/>
    <mergeCell ref="AF12:AF13"/>
    <mergeCell ref="G9:H9"/>
    <mergeCell ref="E12:E13"/>
    <mergeCell ref="F12:F13"/>
    <mergeCell ref="C7:E7"/>
    <mergeCell ref="I7:K7"/>
    <mergeCell ref="C8:E8"/>
    <mergeCell ref="I8:K8"/>
    <mergeCell ref="AA12:AE12"/>
    <mergeCell ref="B28:D28"/>
    <mergeCell ref="B25:D25"/>
    <mergeCell ref="B26:D26"/>
    <mergeCell ref="B27:D27"/>
    <mergeCell ref="B24:D24"/>
    <mergeCell ref="B19:D19"/>
    <mergeCell ref="B20:D20"/>
    <mergeCell ref="G15:H15"/>
    <mergeCell ref="G16:H16"/>
    <mergeCell ref="G17:H17"/>
    <mergeCell ref="G18:H18"/>
    <mergeCell ref="G19:H19"/>
    <mergeCell ref="G20:H20"/>
    <mergeCell ref="G21:H21"/>
    <mergeCell ref="G22:H22"/>
    <mergeCell ref="G23:H23"/>
    <mergeCell ref="N12:N13"/>
    <mergeCell ref="B15:D15"/>
    <mergeCell ref="I43:J43"/>
    <mergeCell ref="I44:J44"/>
    <mergeCell ref="I45:J45"/>
    <mergeCell ref="I46:J46"/>
    <mergeCell ref="I47:J47"/>
    <mergeCell ref="I48:J48"/>
    <mergeCell ref="I12:J13"/>
    <mergeCell ref="B29:D29"/>
    <mergeCell ref="B30:D30"/>
    <mergeCell ref="B42:D42"/>
    <mergeCell ref="B43:D43"/>
    <mergeCell ref="G43:H43"/>
    <mergeCell ref="B44:D44"/>
    <mergeCell ref="G44:H44"/>
    <mergeCell ref="B39:D39"/>
    <mergeCell ref="B40:D40"/>
    <mergeCell ref="B41:D41"/>
    <mergeCell ref="B36:D36"/>
    <mergeCell ref="B37:D37"/>
    <mergeCell ref="B38:D38"/>
    <mergeCell ref="G24:H24"/>
    <mergeCell ref="G25:H25"/>
    <mergeCell ref="I58:J58"/>
    <mergeCell ref="I59:J59"/>
    <mergeCell ref="I60:J60"/>
    <mergeCell ref="I49:J49"/>
    <mergeCell ref="I50:J50"/>
    <mergeCell ref="I51:J51"/>
    <mergeCell ref="I52:J52"/>
    <mergeCell ref="I53:J53"/>
    <mergeCell ref="I54:J54"/>
    <mergeCell ref="I55:J55"/>
    <mergeCell ref="I56:J56"/>
    <mergeCell ref="I57:J57"/>
    <mergeCell ref="G31:H31"/>
    <mergeCell ref="G32:H32"/>
    <mergeCell ref="G42:H42"/>
    <mergeCell ref="G33:H33"/>
    <mergeCell ref="G34:H34"/>
    <mergeCell ref="G35:H35"/>
    <mergeCell ref="G36:H36"/>
    <mergeCell ref="G37:H37"/>
    <mergeCell ref="G38:H38"/>
    <mergeCell ref="G39:H39"/>
    <mergeCell ref="G40:H40"/>
    <mergeCell ref="G41:H41"/>
    <mergeCell ref="B14:D14"/>
    <mergeCell ref="I14:J14"/>
    <mergeCell ref="I15:J15"/>
    <mergeCell ref="I16:J16"/>
    <mergeCell ref="G26:H26"/>
    <mergeCell ref="G27:H27"/>
    <mergeCell ref="G28:H28"/>
    <mergeCell ref="G29:H29"/>
    <mergeCell ref="G30:H30"/>
    <mergeCell ref="G14:H14"/>
    <mergeCell ref="I17:J17"/>
    <mergeCell ref="I18:J18"/>
  </mergeCells>
  <conditionalFormatting sqref="U61:U100 A61:N100 Y26:Z30 U26:U30 N27:N30 Y61:AJ100 Y43:AG60 Y14:AG15 AA16:AG16">
    <cfRule type="notContainsBlanks" dxfId="65" priority="118">
      <formula>LEN(TRIM(A14))&gt;0</formula>
    </cfRule>
  </conditionalFormatting>
  <conditionalFormatting sqref="O61:Q100 O27:Q30">
    <cfRule type="notContainsBlanks" dxfId="64" priority="116">
      <formula>LEN(TRIM(O27))&gt;0</formula>
    </cfRule>
  </conditionalFormatting>
  <conditionalFormatting sqref="R61:T100 R26:T30">
    <cfRule type="notContainsBlanks" dxfId="63" priority="115">
      <formula>LEN(TRIM(R26))&gt;0</formula>
    </cfRule>
  </conditionalFormatting>
  <conditionalFormatting sqref="V61:X100 V26:X30">
    <cfRule type="notContainsBlanks" dxfId="62" priority="114">
      <formula>LEN(TRIM(V26))&gt;0</formula>
    </cfRule>
  </conditionalFormatting>
  <conditionalFormatting sqref="AK61:AK150">
    <cfRule type="notContainsBlanks" dxfId="61" priority="112">
      <formula>LEN(TRIM(AK61))&gt;0</formula>
    </cfRule>
  </conditionalFormatting>
  <conditionalFormatting sqref="B52:H60 U31:U60 N31:N60 Y31:Z42 AC37:AE42 AG37:AG42 B44:G51 B43:F43">
    <cfRule type="notContainsBlanks" dxfId="60" priority="111">
      <formula>LEN(TRIM(B31))&gt;0</formula>
    </cfRule>
  </conditionalFormatting>
  <conditionalFormatting sqref="O31:Q60">
    <cfRule type="notContainsBlanks" dxfId="59" priority="110">
      <formula>LEN(TRIM(O31))&gt;0</formula>
    </cfRule>
  </conditionalFormatting>
  <conditionalFormatting sqref="R31:T60">
    <cfRule type="notContainsBlanks" dxfId="58" priority="109">
      <formula>LEN(TRIM(R31))&gt;0</formula>
    </cfRule>
  </conditionalFormatting>
  <conditionalFormatting sqref="V31:X60">
    <cfRule type="notContainsBlanks" dxfId="57" priority="108">
      <formula>LEN(TRIM(V31))&gt;0</formula>
    </cfRule>
  </conditionalFormatting>
  <conditionalFormatting sqref="AK43:AK60">
    <cfRule type="notContainsBlanks" dxfId="56" priority="107">
      <formula>LEN(TRIM(AK43))&gt;0</formula>
    </cfRule>
  </conditionalFormatting>
  <conditionalFormatting sqref="AH37:AJ60">
    <cfRule type="notContainsBlanks" dxfId="55" priority="105">
      <formula>LEN(TRIM(AH37))&gt;0</formula>
    </cfRule>
  </conditionalFormatting>
  <conditionalFormatting sqref="I43:I60">
    <cfRule type="notContainsBlanks" dxfId="54" priority="104">
      <formula>LEN(TRIM(I43))&gt;0</formula>
    </cfRule>
  </conditionalFormatting>
  <conditionalFormatting sqref="AG26:AG36 AC26:AE36">
    <cfRule type="notContainsBlanks" dxfId="53" priority="90">
      <formula>LEN(TRIM(AC26))&gt;0</formula>
    </cfRule>
  </conditionalFormatting>
  <conditionalFormatting sqref="AH26:AJ36">
    <cfRule type="notContainsBlanks" dxfId="52" priority="85">
      <formula>LEN(TRIM(AH26))&gt;0</formula>
    </cfRule>
  </conditionalFormatting>
  <conditionalFormatting sqref="Y22:Z25 U22:U25 AF17:AF42 AA17:AB42 N14:N26 U14 A14:A60 Y16:Z17 U16:U17">
    <cfRule type="notContainsBlanks" dxfId="51" priority="84">
      <formula>LEN(TRIM(A14))&gt;0</formula>
    </cfRule>
  </conditionalFormatting>
  <conditionalFormatting sqref="O14:Q15 O17:Q26">
    <cfRule type="notContainsBlanks" dxfId="50" priority="83">
      <formula>LEN(TRIM(O14))&gt;0</formula>
    </cfRule>
  </conditionalFormatting>
  <conditionalFormatting sqref="R14:T15 R22:T25">
    <cfRule type="notContainsBlanks" dxfId="49" priority="82">
      <formula>LEN(TRIM(R14))&gt;0</formula>
    </cfRule>
  </conditionalFormatting>
  <conditionalFormatting sqref="V22:X25 V14:X17">
    <cfRule type="notContainsBlanks" dxfId="48" priority="81">
      <formula>LEN(TRIM(V14))&gt;0</formula>
    </cfRule>
  </conditionalFormatting>
  <conditionalFormatting sqref="AK14:AK15 AK17:AK42">
    <cfRule type="notContainsBlanks" dxfId="47" priority="80">
      <formula>LEN(TRIM(AK14))&gt;0</formula>
    </cfRule>
  </conditionalFormatting>
  <conditionalFormatting sqref="AH14:AJ15">
    <cfRule type="notContainsBlanks" dxfId="46" priority="79">
      <formula>LEN(TRIM(AH14))&gt;0</formula>
    </cfRule>
  </conditionalFormatting>
  <conditionalFormatting sqref="AC17:AE17 AG17">
    <cfRule type="notContainsBlanks" dxfId="45" priority="78">
      <formula>LEN(TRIM(AC17))&gt;0</formula>
    </cfRule>
  </conditionalFormatting>
  <conditionalFormatting sqref="R17:T17">
    <cfRule type="notContainsBlanks" dxfId="44" priority="76">
      <formula>LEN(TRIM(R17))&gt;0</formula>
    </cfRule>
  </conditionalFormatting>
  <conditionalFormatting sqref="AH17:AJ17">
    <cfRule type="notContainsBlanks" dxfId="43" priority="73">
      <formula>LEN(TRIM(AH17))&gt;0</formula>
    </cfRule>
  </conditionalFormatting>
  <conditionalFormatting sqref="U18:U19 Y18:Z19 AC18:AE19 AG18:AG19">
    <cfRule type="notContainsBlanks" dxfId="42" priority="72">
      <formula>LEN(TRIM(U18))&gt;0</formula>
    </cfRule>
  </conditionalFormatting>
  <conditionalFormatting sqref="R18:T19">
    <cfRule type="notContainsBlanks" dxfId="41" priority="70">
      <formula>LEN(TRIM(R18))&gt;0</formula>
    </cfRule>
  </conditionalFormatting>
  <conditionalFormatting sqref="V18:X19">
    <cfRule type="notContainsBlanks" dxfId="40" priority="69">
      <formula>LEN(TRIM(V18))&gt;0</formula>
    </cfRule>
  </conditionalFormatting>
  <conditionalFormatting sqref="AH18:AJ19">
    <cfRule type="notContainsBlanks" dxfId="39" priority="67">
      <formula>LEN(TRIM(AH18))&gt;0</formula>
    </cfRule>
  </conditionalFormatting>
  <conditionalFormatting sqref="U20:U21 Y20:Z21 AC20:AE25 AG20:AG25">
    <cfRule type="notContainsBlanks" dxfId="38" priority="66">
      <formula>LEN(TRIM(U20))&gt;0</formula>
    </cfRule>
  </conditionalFormatting>
  <conditionalFormatting sqref="R20:T21">
    <cfRule type="notContainsBlanks" dxfId="37" priority="64">
      <formula>LEN(TRIM(R20))&gt;0</formula>
    </cfRule>
  </conditionalFormatting>
  <conditionalFormatting sqref="V20:X21">
    <cfRule type="notContainsBlanks" dxfId="36" priority="63">
      <formula>LEN(TRIM(V20))&gt;0</formula>
    </cfRule>
  </conditionalFormatting>
  <conditionalFormatting sqref="AH20:AJ25">
    <cfRule type="notContainsBlanks" dxfId="35" priority="61">
      <formula>LEN(TRIM(AH20))&gt;0</formula>
    </cfRule>
  </conditionalFormatting>
  <conditionalFormatting sqref="B18:B27 G14 G24:G43 E15:G15 E17:G23">
    <cfRule type="notContainsBlanks" dxfId="34" priority="57">
      <formula>LEN(TRIM(B14))&gt;0</formula>
    </cfRule>
  </conditionalFormatting>
  <conditionalFormatting sqref="B14 E24:E38 B39:F42 B15:E15 G15 G17:G43 E14:G14 B16:D17">
    <cfRule type="notContainsBlanks" dxfId="33" priority="56">
      <formula>LEN(TRIM(B14))&gt;0</formula>
    </cfRule>
  </conditionalFormatting>
  <conditionalFormatting sqref="F24:F34">
    <cfRule type="notContainsBlanks" dxfId="32" priority="55">
      <formula>LEN(TRIM(F24))&gt;0</formula>
    </cfRule>
  </conditionalFormatting>
  <conditionalFormatting sqref="F35:F36">
    <cfRule type="notContainsBlanks" dxfId="31" priority="54">
      <formula>LEN(TRIM(F35))&gt;0</formula>
    </cfRule>
  </conditionalFormatting>
  <conditionalFormatting sqref="F37:F38">
    <cfRule type="notContainsBlanks" dxfId="30" priority="53">
      <formula>LEN(TRIM(F37))&gt;0</formula>
    </cfRule>
  </conditionalFormatting>
  <conditionalFormatting sqref="B28:B38">
    <cfRule type="notContainsBlanks" dxfId="29" priority="34">
      <formula>LEN(TRIM(B28))&gt;0</formula>
    </cfRule>
  </conditionalFormatting>
  <conditionalFormatting sqref="I19:J42 I14:I15 I17:I18">
    <cfRule type="notContainsBlanks" dxfId="28" priority="33">
      <formula>LEN(TRIM(I14))&gt;0</formula>
    </cfRule>
  </conditionalFormatting>
  <conditionalFormatting sqref="I34:J35 I14:I15">
    <cfRule type="notContainsBlanks" dxfId="27" priority="32">
      <formula>LEN(TRIM(I14))&gt;0</formula>
    </cfRule>
  </conditionalFormatting>
  <conditionalFormatting sqref="I36:J36">
    <cfRule type="notContainsBlanks" dxfId="26" priority="31">
      <formula>LEN(TRIM(I36))&gt;0</formula>
    </cfRule>
  </conditionalFormatting>
  <conditionalFormatting sqref="I17">
    <cfRule type="notContainsBlanks" dxfId="25" priority="30">
      <formula>LEN(TRIM(I17))&gt;0</formula>
    </cfRule>
  </conditionalFormatting>
  <conditionalFormatting sqref="I18">
    <cfRule type="notContainsBlanks" dxfId="24" priority="29">
      <formula>LEN(TRIM(I18))&gt;0</formula>
    </cfRule>
  </conditionalFormatting>
  <conditionalFormatting sqref="I19">
    <cfRule type="notContainsBlanks" dxfId="23" priority="28">
      <formula>LEN(TRIM(I19))&gt;0</formula>
    </cfRule>
  </conditionalFormatting>
  <conditionalFormatting sqref="I20">
    <cfRule type="notContainsBlanks" dxfId="22" priority="27">
      <formula>LEN(TRIM(I20))&gt;0</formula>
    </cfRule>
  </conditionalFormatting>
  <conditionalFormatting sqref="I21">
    <cfRule type="notContainsBlanks" dxfId="21" priority="26">
      <formula>LEN(TRIM(I21))&gt;0</formula>
    </cfRule>
  </conditionalFormatting>
  <conditionalFormatting sqref="I22">
    <cfRule type="notContainsBlanks" dxfId="20" priority="25">
      <formula>LEN(TRIM(I22))&gt;0</formula>
    </cfRule>
  </conditionalFormatting>
  <conditionalFormatting sqref="I24">
    <cfRule type="notContainsBlanks" dxfId="19" priority="24">
      <formula>LEN(TRIM(I24))&gt;0</formula>
    </cfRule>
  </conditionalFormatting>
  <conditionalFormatting sqref="I23">
    <cfRule type="notContainsBlanks" dxfId="18" priority="23">
      <formula>LEN(TRIM(I23))&gt;0</formula>
    </cfRule>
  </conditionalFormatting>
  <conditionalFormatting sqref="I25">
    <cfRule type="notContainsBlanks" dxfId="17" priority="22">
      <formula>LEN(TRIM(I25))&gt;0</formula>
    </cfRule>
  </conditionalFormatting>
  <conditionalFormatting sqref="I26">
    <cfRule type="notContainsBlanks" dxfId="16" priority="21">
      <formula>LEN(TRIM(I26))&gt;0</formula>
    </cfRule>
  </conditionalFormatting>
  <conditionalFormatting sqref="I27">
    <cfRule type="notContainsBlanks" dxfId="15" priority="20">
      <formula>LEN(TRIM(I27))&gt;0</formula>
    </cfRule>
  </conditionalFormatting>
  <conditionalFormatting sqref="I28">
    <cfRule type="notContainsBlanks" dxfId="14" priority="19">
      <formula>LEN(TRIM(I28))&gt;0</formula>
    </cfRule>
  </conditionalFormatting>
  <conditionalFormatting sqref="I29">
    <cfRule type="notContainsBlanks" dxfId="13" priority="18">
      <formula>LEN(TRIM(I29))&gt;0</formula>
    </cfRule>
  </conditionalFormatting>
  <conditionalFormatting sqref="I30">
    <cfRule type="notContainsBlanks" dxfId="12" priority="17">
      <formula>LEN(TRIM(I30))&gt;0</formula>
    </cfRule>
  </conditionalFormatting>
  <conditionalFormatting sqref="I31">
    <cfRule type="notContainsBlanks" dxfId="11" priority="16">
      <formula>LEN(TRIM(I31))&gt;0</formula>
    </cfRule>
  </conditionalFormatting>
  <conditionalFormatting sqref="I32">
    <cfRule type="notContainsBlanks" dxfId="10" priority="15">
      <formula>LEN(TRIM(I32))&gt;0</formula>
    </cfRule>
  </conditionalFormatting>
  <conditionalFormatting sqref="I33">
    <cfRule type="notContainsBlanks" dxfId="9" priority="14">
      <formula>LEN(TRIM(I33))&gt;0</formula>
    </cfRule>
  </conditionalFormatting>
  <conditionalFormatting sqref="O16:Q16">
    <cfRule type="notContainsBlanks" dxfId="8" priority="12">
      <formula>LEN(TRIM(O16))&gt;0</formula>
    </cfRule>
  </conditionalFormatting>
  <conditionalFormatting sqref="R16:T16">
    <cfRule type="notContainsBlanks" dxfId="7" priority="11">
      <formula>LEN(TRIM(R16))&gt;0</formula>
    </cfRule>
  </conditionalFormatting>
  <conditionalFormatting sqref="AK16">
    <cfRule type="notContainsBlanks" dxfId="6" priority="9">
      <formula>LEN(TRIM(AK16))&gt;0</formula>
    </cfRule>
  </conditionalFormatting>
  <conditionalFormatting sqref="AH16:AJ16">
    <cfRule type="notContainsBlanks" dxfId="5" priority="8">
      <formula>LEN(TRIM(AH16))&gt;0</formula>
    </cfRule>
  </conditionalFormatting>
  <conditionalFormatting sqref="E16:G16">
    <cfRule type="notContainsBlanks" dxfId="4" priority="7">
      <formula>LEN(TRIM(E16))&gt;0</formula>
    </cfRule>
  </conditionalFormatting>
  <conditionalFormatting sqref="E16 G16">
    <cfRule type="notContainsBlanks" dxfId="3" priority="6">
      <formula>LEN(TRIM(E16))&gt;0</formula>
    </cfRule>
  </conditionalFormatting>
  <conditionalFormatting sqref="I16">
    <cfRule type="notContainsBlanks" dxfId="2" priority="5">
      <formula>LEN(TRIM(I16))&gt;0</formula>
    </cfRule>
  </conditionalFormatting>
  <conditionalFormatting sqref="I16">
    <cfRule type="notContainsBlanks" dxfId="1" priority="4">
      <formula>LEN(TRIM(I16))&gt;0</formula>
    </cfRule>
  </conditionalFormatting>
  <conditionalFormatting sqref="U15">
    <cfRule type="notContainsBlanks" dxfId="0" priority="1">
      <formula>LEN(TRIM(U15))&gt;0</formula>
    </cfRule>
  </conditionalFormatting>
  <dataValidations xWindow="980" yWindow="635" count="12">
    <dataValidation type="whole" allowBlank="1" showInputMessage="1" showErrorMessage="1" errorTitle="Error en los datos" error="Sólo números entre 5 y 10" promptTitle="Número entre 5 y 10" prompt="Sólo se admiten valores entre 5 y 10" sqref="A3" xr:uid="{00000000-0002-0000-0100-000000000000}">
      <formula1>5</formula1>
      <formula2>10</formula2>
    </dataValidation>
    <dataValidation type="list" allowBlank="1" showInputMessage="1" showErrorMessage="1" errorTitle="Error en los datos" error="Sólo números entre M y F" prompt="Sólo se admiten valores M y F" sqref="F14:F1048576" xr:uid="{00000000-0002-0000-0100-000001000000}">
      <formula1>"F,M"</formula1>
    </dataValidation>
    <dataValidation type="list" allowBlank="1" showInputMessage="1" showErrorMessage="1" errorTitle="Error en los datos" prompt="Sólo se admiten valores FAMILIAR,ESCOLAR,  COMUNITARIO,LOCALIZADO, NOSOCOMIAL, FORANEO" sqref="AF14:AF60" xr:uid="{00000000-0002-0000-0100-000002000000}">
      <formula1>"FAMILIAR,ESCOLAR,COMUNITARIO,LOCALIZADO,NOSOCOMIAL,FORANEO"</formula1>
    </dataValidation>
    <dataValidation type="list" allowBlank="1" showInputMessage="1" showErrorMessage="1" sqref="E14:E150" xr:uid="{00000000-0002-0000-0100-000003000000}">
      <formula1>EDAD_</formula1>
    </dataValidation>
    <dataValidation type="list" allowBlank="1" showInputMessage="1" showErrorMessage="1" sqref="I9 C9 R14:R150 K14:K150 AH14:AH60 O14:O150 V14:V150" xr:uid="{00000000-0002-0000-0100-000004000000}">
      <formula1>DIA</formula1>
    </dataValidation>
    <dataValidation type="list" allowBlank="1" showInputMessage="1" showErrorMessage="1" sqref="D9 J9 L14:L150 S14:S150 AI14:AI60 P14:P150 W14:W150" xr:uid="{00000000-0002-0000-0100-000005000000}">
      <formula1>MES</formula1>
    </dataValidation>
    <dataValidation type="list" allowBlank="1" showInputMessage="1" showErrorMessage="1" sqref="E9 K9 M14:M150 T14:T150 AJ14:AJ60 Q14:Q150 X14:X150" xr:uid="{00000000-0002-0000-0100-000006000000}">
      <formula1>AÑO</formula1>
    </dataValidation>
    <dataValidation type="list" allowBlank="1" showInputMessage="1" showErrorMessage="1" errorTitle="Error en los datos" error="Sólo números 0 y 1" prompt="Sólo se admiten valores 0 y 1" sqref="AA14:AE1048576" xr:uid="{00000000-0002-0000-0100-000007000000}">
      <formula1>"0,1"</formula1>
    </dataValidation>
    <dataValidation type="list" allowBlank="1" showInputMessage="1" showErrorMessage="1" sqref="AK14:AK1048576" xr:uid="{00000000-0002-0000-0100-000008000000}">
      <formula1>NOTIFICACIÓN</formula1>
    </dataValidation>
    <dataValidation type="list" allowBlank="1" showInputMessage="1" showErrorMessage="1" prompt="Seleccione una opción" sqref="I7:K7" xr:uid="{00000000-0002-0000-0100-000009000000}">
      <formula1>MUNICIPIO</formula1>
    </dataValidation>
    <dataValidation type="list" allowBlank="1" showInputMessage="1" showErrorMessage="1" prompt="Seleccione una opción_x000a_" sqref="C8:E8" xr:uid="{00000000-0002-0000-0100-00000A000000}">
      <formula1>TIPO_BROTE</formula1>
    </dataValidation>
    <dataValidation allowBlank="1" showInputMessage="1" showErrorMessage="1" errorTitle="Error en los datos" error="Sólo números entre M y F" prompt="Sólo se admiten valores M y F" sqref="F12:F13" xr:uid="{00000000-0002-0000-0100-00000B000000}"/>
  </dataValidations>
  <pageMargins left="0.15748031496062992" right="0.15748031496062992" top="0.98425196850393704" bottom="0.98425196850393704" header="0" footer="0"/>
  <pageSetup scale="34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LIMPIAR">
                <anchor moveWithCells="1" sizeWithCells="1">
                  <from>
                    <xdr:col>6</xdr:col>
                    <xdr:colOff>200025</xdr:colOff>
                    <xdr:row>1</xdr:row>
                    <xdr:rowOff>0</xdr:rowOff>
                  </from>
                  <to>
                    <xdr:col>8</xdr:col>
                    <xdr:colOff>600075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Hoja2.LISTADO_NOMINAL">
                <anchor moveWithCells="1" sizeWithCells="1">
                  <from>
                    <xdr:col>9</xdr:col>
                    <xdr:colOff>200025</xdr:colOff>
                    <xdr:row>0</xdr:row>
                    <xdr:rowOff>161925</xdr:rowOff>
                  </from>
                  <to>
                    <xdr:col>12</xdr:col>
                    <xdr:colOff>95250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indexed="12"/>
  </sheetPr>
  <dimension ref="A1:Q100"/>
  <sheetViews>
    <sheetView showGridLines="0" view="pageBreakPreview" zoomScaleNormal="100" zoomScaleSheetLayoutView="100" workbookViewId="0">
      <selection activeCell="F1" sqref="F1"/>
    </sheetView>
  </sheetViews>
  <sheetFormatPr baseColWidth="10" defaultRowHeight="12.75" x14ac:dyDescent="0.2"/>
  <cols>
    <col min="1" max="1" width="13.140625" style="87" customWidth="1"/>
    <col min="2" max="2" width="9.42578125" style="21" customWidth="1"/>
    <col min="3" max="3" width="11.42578125" style="21" customWidth="1"/>
    <col min="4" max="4" width="10.28515625" style="21" customWidth="1"/>
    <col min="5" max="5" width="11.5703125" style="21"/>
    <col min="6" max="6" width="10" style="21" customWidth="1"/>
    <col min="7" max="7" width="17.5703125" style="21" customWidth="1"/>
    <col min="8" max="8" width="10.85546875" style="21" customWidth="1"/>
    <col min="9" max="9" width="11.5703125" style="21"/>
    <col min="10" max="10" width="12.7109375" style="21" customWidth="1"/>
    <col min="11" max="12" width="11.5703125" style="21"/>
    <col min="13" max="13" width="2.140625" style="21" customWidth="1"/>
    <col min="14" max="256" width="11.5703125" style="21"/>
    <col min="257" max="257" width="13.140625" style="21" customWidth="1"/>
    <col min="258" max="258" width="9.42578125" style="21" customWidth="1"/>
    <col min="259" max="259" width="9.140625" style="21" customWidth="1"/>
    <col min="260" max="260" width="10.28515625" style="21" customWidth="1"/>
    <col min="261" max="261" width="11.5703125" style="21"/>
    <col min="262" max="262" width="10" style="21" customWidth="1"/>
    <col min="263" max="263" width="17.5703125" style="21" customWidth="1"/>
    <col min="264" max="264" width="5" style="21" customWidth="1"/>
    <col min="265" max="265" width="11.5703125" style="21"/>
    <col min="266" max="266" width="12.7109375" style="21" customWidth="1"/>
    <col min="267" max="268" width="11.5703125" style="21"/>
    <col min="269" max="269" width="2.140625" style="21" customWidth="1"/>
    <col min="270" max="512" width="11.5703125" style="21"/>
    <col min="513" max="513" width="13.140625" style="21" customWidth="1"/>
    <col min="514" max="514" width="9.42578125" style="21" customWidth="1"/>
    <col min="515" max="515" width="9.140625" style="21" customWidth="1"/>
    <col min="516" max="516" width="10.28515625" style="21" customWidth="1"/>
    <col min="517" max="517" width="11.5703125" style="21"/>
    <col min="518" max="518" width="10" style="21" customWidth="1"/>
    <col min="519" max="519" width="17.5703125" style="21" customWidth="1"/>
    <col min="520" max="520" width="5" style="21" customWidth="1"/>
    <col min="521" max="521" width="11.5703125" style="21"/>
    <col min="522" max="522" width="12.7109375" style="21" customWidth="1"/>
    <col min="523" max="524" width="11.5703125" style="21"/>
    <col min="525" max="525" width="2.140625" style="21" customWidth="1"/>
    <col min="526" max="768" width="11.5703125" style="21"/>
    <col min="769" max="769" width="13.140625" style="21" customWidth="1"/>
    <col min="770" max="770" width="9.42578125" style="21" customWidth="1"/>
    <col min="771" max="771" width="9.140625" style="21" customWidth="1"/>
    <col min="772" max="772" width="10.28515625" style="21" customWidth="1"/>
    <col min="773" max="773" width="11.5703125" style="21"/>
    <col min="774" max="774" width="10" style="21" customWidth="1"/>
    <col min="775" max="775" width="17.5703125" style="21" customWidth="1"/>
    <col min="776" max="776" width="5" style="21" customWidth="1"/>
    <col min="777" max="777" width="11.5703125" style="21"/>
    <col min="778" max="778" width="12.7109375" style="21" customWidth="1"/>
    <col min="779" max="780" width="11.5703125" style="21"/>
    <col min="781" max="781" width="2.140625" style="21" customWidth="1"/>
    <col min="782" max="1024" width="11.5703125" style="21"/>
    <col min="1025" max="1025" width="13.140625" style="21" customWidth="1"/>
    <col min="1026" max="1026" width="9.42578125" style="21" customWidth="1"/>
    <col min="1027" max="1027" width="9.140625" style="21" customWidth="1"/>
    <col min="1028" max="1028" width="10.28515625" style="21" customWidth="1"/>
    <col min="1029" max="1029" width="11.5703125" style="21"/>
    <col min="1030" max="1030" width="10" style="21" customWidth="1"/>
    <col min="1031" max="1031" width="17.5703125" style="21" customWidth="1"/>
    <col min="1032" max="1032" width="5" style="21" customWidth="1"/>
    <col min="1033" max="1033" width="11.5703125" style="21"/>
    <col min="1034" max="1034" width="12.7109375" style="21" customWidth="1"/>
    <col min="1035" max="1036" width="11.5703125" style="21"/>
    <col min="1037" max="1037" width="2.140625" style="21" customWidth="1"/>
    <col min="1038" max="1280" width="11.5703125" style="21"/>
    <col min="1281" max="1281" width="13.140625" style="21" customWidth="1"/>
    <col min="1282" max="1282" width="9.42578125" style="21" customWidth="1"/>
    <col min="1283" max="1283" width="9.140625" style="21" customWidth="1"/>
    <col min="1284" max="1284" width="10.28515625" style="21" customWidth="1"/>
    <col min="1285" max="1285" width="11.5703125" style="21"/>
    <col min="1286" max="1286" width="10" style="21" customWidth="1"/>
    <col min="1287" max="1287" width="17.5703125" style="21" customWidth="1"/>
    <col min="1288" max="1288" width="5" style="21" customWidth="1"/>
    <col min="1289" max="1289" width="11.5703125" style="21"/>
    <col min="1290" max="1290" width="12.7109375" style="21" customWidth="1"/>
    <col min="1291" max="1292" width="11.5703125" style="21"/>
    <col min="1293" max="1293" width="2.140625" style="21" customWidth="1"/>
    <col min="1294" max="1536" width="11.5703125" style="21"/>
    <col min="1537" max="1537" width="13.140625" style="21" customWidth="1"/>
    <col min="1538" max="1538" width="9.42578125" style="21" customWidth="1"/>
    <col min="1539" max="1539" width="9.140625" style="21" customWidth="1"/>
    <col min="1540" max="1540" width="10.28515625" style="21" customWidth="1"/>
    <col min="1541" max="1541" width="11.5703125" style="21"/>
    <col min="1542" max="1542" width="10" style="21" customWidth="1"/>
    <col min="1543" max="1543" width="17.5703125" style="21" customWidth="1"/>
    <col min="1544" max="1544" width="5" style="21" customWidth="1"/>
    <col min="1545" max="1545" width="11.5703125" style="21"/>
    <col min="1546" max="1546" width="12.7109375" style="21" customWidth="1"/>
    <col min="1547" max="1548" width="11.5703125" style="21"/>
    <col min="1549" max="1549" width="2.140625" style="21" customWidth="1"/>
    <col min="1550" max="1792" width="11.5703125" style="21"/>
    <col min="1793" max="1793" width="13.140625" style="21" customWidth="1"/>
    <col min="1794" max="1794" width="9.42578125" style="21" customWidth="1"/>
    <col min="1795" max="1795" width="9.140625" style="21" customWidth="1"/>
    <col min="1796" max="1796" width="10.28515625" style="21" customWidth="1"/>
    <col min="1797" max="1797" width="11.5703125" style="21"/>
    <col min="1798" max="1798" width="10" style="21" customWidth="1"/>
    <col min="1799" max="1799" width="17.5703125" style="21" customWidth="1"/>
    <col min="1800" max="1800" width="5" style="21" customWidth="1"/>
    <col min="1801" max="1801" width="11.5703125" style="21"/>
    <col min="1802" max="1802" width="12.7109375" style="21" customWidth="1"/>
    <col min="1803" max="1804" width="11.5703125" style="21"/>
    <col min="1805" max="1805" width="2.140625" style="21" customWidth="1"/>
    <col min="1806" max="2048" width="11.5703125" style="21"/>
    <col min="2049" max="2049" width="13.140625" style="21" customWidth="1"/>
    <col min="2050" max="2050" width="9.42578125" style="21" customWidth="1"/>
    <col min="2051" max="2051" width="9.140625" style="21" customWidth="1"/>
    <col min="2052" max="2052" width="10.28515625" style="21" customWidth="1"/>
    <col min="2053" max="2053" width="11.5703125" style="21"/>
    <col min="2054" max="2054" width="10" style="21" customWidth="1"/>
    <col min="2055" max="2055" width="17.5703125" style="21" customWidth="1"/>
    <col min="2056" max="2056" width="5" style="21" customWidth="1"/>
    <col min="2057" max="2057" width="11.5703125" style="21"/>
    <col min="2058" max="2058" width="12.7109375" style="21" customWidth="1"/>
    <col min="2059" max="2060" width="11.5703125" style="21"/>
    <col min="2061" max="2061" width="2.140625" style="21" customWidth="1"/>
    <col min="2062" max="2304" width="11.5703125" style="21"/>
    <col min="2305" max="2305" width="13.140625" style="21" customWidth="1"/>
    <col min="2306" max="2306" width="9.42578125" style="21" customWidth="1"/>
    <col min="2307" max="2307" width="9.140625" style="21" customWidth="1"/>
    <col min="2308" max="2308" width="10.28515625" style="21" customWidth="1"/>
    <col min="2309" max="2309" width="11.5703125" style="21"/>
    <col min="2310" max="2310" width="10" style="21" customWidth="1"/>
    <col min="2311" max="2311" width="17.5703125" style="21" customWidth="1"/>
    <col min="2312" max="2312" width="5" style="21" customWidth="1"/>
    <col min="2313" max="2313" width="11.5703125" style="21"/>
    <col min="2314" max="2314" width="12.7109375" style="21" customWidth="1"/>
    <col min="2315" max="2316" width="11.5703125" style="21"/>
    <col min="2317" max="2317" width="2.140625" style="21" customWidth="1"/>
    <col min="2318" max="2560" width="11.5703125" style="21"/>
    <col min="2561" max="2561" width="13.140625" style="21" customWidth="1"/>
    <col min="2562" max="2562" width="9.42578125" style="21" customWidth="1"/>
    <col min="2563" max="2563" width="9.140625" style="21" customWidth="1"/>
    <col min="2564" max="2564" width="10.28515625" style="21" customWidth="1"/>
    <col min="2565" max="2565" width="11.5703125" style="21"/>
    <col min="2566" max="2566" width="10" style="21" customWidth="1"/>
    <col min="2567" max="2567" width="17.5703125" style="21" customWidth="1"/>
    <col min="2568" max="2568" width="5" style="21" customWidth="1"/>
    <col min="2569" max="2569" width="11.5703125" style="21"/>
    <col min="2570" max="2570" width="12.7109375" style="21" customWidth="1"/>
    <col min="2571" max="2572" width="11.5703125" style="21"/>
    <col min="2573" max="2573" width="2.140625" style="21" customWidth="1"/>
    <col min="2574" max="2816" width="11.5703125" style="21"/>
    <col min="2817" max="2817" width="13.140625" style="21" customWidth="1"/>
    <col min="2818" max="2818" width="9.42578125" style="21" customWidth="1"/>
    <col min="2819" max="2819" width="9.140625" style="21" customWidth="1"/>
    <col min="2820" max="2820" width="10.28515625" style="21" customWidth="1"/>
    <col min="2821" max="2821" width="11.5703125" style="21"/>
    <col min="2822" max="2822" width="10" style="21" customWidth="1"/>
    <col min="2823" max="2823" width="17.5703125" style="21" customWidth="1"/>
    <col min="2824" max="2824" width="5" style="21" customWidth="1"/>
    <col min="2825" max="2825" width="11.5703125" style="21"/>
    <col min="2826" max="2826" width="12.7109375" style="21" customWidth="1"/>
    <col min="2827" max="2828" width="11.5703125" style="21"/>
    <col min="2829" max="2829" width="2.140625" style="21" customWidth="1"/>
    <col min="2830" max="3072" width="11.5703125" style="21"/>
    <col min="3073" max="3073" width="13.140625" style="21" customWidth="1"/>
    <col min="3074" max="3074" width="9.42578125" style="21" customWidth="1"/>
    <col min="3075" max="3075" width="9.140625" style="21" customWidth="1"/>
    <col min="3076" max="3076" width="10.28515625" style="21" customWidth="1"/>
    <col min="3077" max="3077" width="11.5703125" style="21"/>
    <col min="3078" max="3078" width="10" style="21" customWidth="1"/>
    <col min="3079" max="3079" width="17.5703125" style="21" customWidth="1"/>
    <col min="3080" max="3080" width="5" style="21" customWidth="1"/>
    <col min="3081" max="3081" width="11.5703125" style="21"/>
    <col min="3082" max="3082" width="12.7109375" style="21" customWidth="1"/>
    <col min="3083" max="3084" width="11.5703125" style="21"/>
    <col min="3085" max="3085" width="2.140625" style="21" customWidth="1"/>
    <col min="3086" max="3328" width="11.5703125" style="21"/>
    <col min="3329" max="3329" width="13.140625" style="21" customWidth="1"/>
    <col min="3330" max="3330" width="9.42578125" style="21" customWidth="1"/>
    <col min="3331" max="3331" width="9.140625" style="21" customWidth="1"/>
    <col min="3332" max="3332" width="10.28515625" style="21" customWidth="1"/>
    <col min="3333" max="3333" width="11.5703125" style="21"/>
    <col min="3334" max="3334" width="10" style="21" customWidth="1"/>
    <col min="3335" max="3335" width="17.5703125" style="21" customWidth="1"/>
    <col min="3336" max="3336" width="5" style="21" customWidth="1"/>
    <col min="3337" max="3337" width="11.5703125" style="21"/>
    <col min="3338" max="3338" width="12.7109375" style="21" customWidth="1"/>
    <col min="3339" max="3340" width="11.5703125" style="21"/>
    <col min="3341" max="3341" width="2.140625" style="21" customWidth="1"/>
    <col min="3342" max="3584" width="11.5703125" style="21"/>
    <col min="3585" max="3585" width="13.140625" style="21" customWidth="1"/>
    <col min="3586" max="3586" width="9.42578125" style="21" customWidth="1"/>
    <col min="3587" max="3587" width="9.140625" style="21" customWidth="1"/>
    <col min="3588" max="3588" width="10.28515625" style="21" customWidth="1"/>
    <col min="3589" max="3589" width="11.5703125" style="21"/>
    <col min="3590" max="3590" width="10" style="21" customWidth="1"/>
    <col min="3591" max="3591" width="17.5703125" style="21" customWidth="1"/>
    <col min="3592" max="3592" width="5" style="21" customWidth="1"/>
    <col min="3593" max="3593" width="11.5703125" style="21"/>
    <col min="3594" max="3594" width="12.7109375" style="21" customWidth="1"/>
    <col min="3595" max="3596" width="11.5703125" style="21"/>
    <col min="3597" max="3597" width="2.140625" style="21" customWidth="1"/>
    <col min="3598" max="3840" width="11.5703125" style="21"/>
    <col min="3841" max="3841" width="13.140625" style="21" customWidth="1"/>
    <col min="3842" max="3842" width="9.42578125" style="21" customWidth="1"/>
    <col min="3843" max="3843" width="9.140625" style="21" customWidth="1"/>
    <col min="3844" max="3844" width="10.28515625" style="21" customWidth="1"/>
    <col min="3845" max="3845" width="11.5703125" style="21"/>
    <col min="3846" max="3846" width="10" style="21" customWidth="1"/>
    <col min="3847" max="3847" width="17.5703125" style="21" customWidth="1"/>
    <col min="3848" max="3848" width="5" style="21" customWidth="1"/>
    <col min="3849" max="3849" width="11.5703125" style="21"/>
    <col min="3850" max="3850" width="12.7109375" style="21" customWidth="1"/>
    <col min="3851" max="3852" width="11.5703125" style="21"/>
    <col min="3853" max="3853" width="2.140625" style="21" customWidth="1"/>
    <col min="3854" max="4096" width="11.5703125" style="21"/>
    <col min="4097" max="4097" width="13.140625" style="21" customWidth="1"/>
    <col min="4098" max="4098" width="9.42578125" style="21" customWidth="1"/>
    <col min="4099" max="4099" width="9.140625" style="21" customWidth="1"/>
    <col min="4100" max="4100" width="10.28515625" style="21" customWidth="1"/>
    <col min="4101" max="4101" width="11.5703125" style="21"/>
    <col min="4102" max="4102" width="10" style="21" customWidth="1"/>
    <col min="4103" max="4103" width="17.5703125" style="21" customWidth="1"/>
    <col min="4104" max="4104" width="5" style="21" customWidth="1"/>
    <col min="4105" max="4105" width="11.5703125" style="21"/>
    <col min="4106" max="4106" width="12.7109375" style="21" customWidth="1"/>
    <col min="4107" max="4108" width="11.5703125" style="21"/>
    <col min="4109" max="4109" width="2.140625" style="21" customWidth="1"/>
    <col min="4110" max="4352" width="11.5703125" style="21"/>
    <col min="4353" max="4353" width="13.140625" style="21" customWidth="1"/>
    <col min="4354" max="4354" width="9.42578125" style="21" customWidth="1"/>
    <col min="4355" max="4355" width="9.140625" style="21" customWidth="1"/>
    <col min="4356" max="4356" width="10.28515625" style="21" customWidth="1"/>
    <col min="4357" max="4357" width="11.5703125" style="21"/>
    <col min="4358" max="4358" width="10" style="21" customWidth="1"/>
    <col min="4359" max="4359" width="17.5703125" style="21" customWidth="1"/>
    <col min="4360" max="4360" width="5" style="21" customWidth="1"/>
    <col min="4361" max="4361" width="11.5703125" style="21"/>
    <col min="4362" max="4362" width="12.7109375" style="21" customWidth="1"/>
    <col min="4363" max="4364" width="11.5703125" style="21"/>
    <col min="4365" max="4365" width="2.140625" style="21" customWidth="1"/>
    <col min="4366" max="4608" width="11.5703125" style="21"/>
    <col min="4609" max="4609" width="13.140625" style="21" customWidth="1"/>
    <col min="4610" max="4610" width="9.42578125" style="21" customWidth="1"/>
    <col min="4611" max="4611" width="9.140625" style="21" customWidth="1"/>
    <col min="4612" max="4612" width="10.28515625" style="21" customWidth="1"/>
    <col min="4613" max="4613" width="11.5703125" style="21"/>
    <col min="4614" max="4614" width="10" style="21" customWidth="1"/>
    <col min="4615" max="4615" width="17.5703125" style="21" customWidth="1"/>
    <col min="4616" max="4616" width="5" style="21" customWidth="1"/>
    <col min="4617" max="4617" width="11.5703125" style="21"/>
    <col min="4618" max="4618" width="12.7109375" style="21" customWidth="1"/>
    <col min="4619" max="4620" width="11.5703125" style="21"/>
    <col min="4621" max="4621" width="2.140625" style="21" customWidth="1"/>
    <col min="4622" max="4864" width="11.5703125" style="21"/>
    <col min="4865" max="4865" width="13.140625" style="21" customWidth="1"/>
    <col min="4866" max="4866" width="9.42578125" style="21" customWidth="1"/>
    <col min="4867" max="4867" width="9.140625" style="21" customWidth="1"/>
    <col min="4868" max="4868" width="10.28515625" style="21" customWidth="1"/>
    <col min="4869" max="4869" width="11.5703125" style="21"/>
    <col min="4870" max="4870" width="10" style="21" customWidth="1"/>
    <col min="4871" max="4871" width="17.5703125" style="21" customWidth="1"/>
    <col min="4872" max="4872" width="5" style="21" customWidth="1"/>
    <col min="4873" max="4873" width="11.5703125" style="21"/>
    <col min="4874" max="4874" width="12.7109375" style="21" customWidth="1"/>
    <col min="4875" max="4876" width="11.5703125" style="21"/>
    <col min="4877" max="4877" width="2.140625" style="21" customWidth="1"/>
    <col min="4878" max="5120" width="11.5703125" style="21"/>
    <col min="5121" max="5121" width="13.140625" style="21" customWidth="1"/>
    <col min="5122" max="5122" width="9.42578125" style="21" customWidth="1"/>
    <col min="5123" max="5123" width="9.140625" style="21" customWidth="1"/>
    <col min="5124" max="5124" width="10.28515625" style="21" customWidth="1"/>
    <col min="5125" max="5125" width="11.5703125" style="21"/>
    <col min="5126" max="5126" width="10" style="21" customWidth="1"/>
    <col min="5127" max="5127" width="17.5703125" style="21" customWidth="1"/>
    <col min="5128" max="5128" width="5" style="21" customWidth="1"/>
    <col min="5129" max="5129" width="11.5703125" style="21"/>
    <col min="5130" max="5130" width="12.7109375" style="21" customWidth="1"/>
    <col min="5131" max="5132" width="11.5703125" style="21"/>
    <col min="5133" max="5133" width="2.140625" style="21" customWidth="1"/>
    <col min="5134" max="5376" width="11.5703125" style="21"/>
    <col min="5377" max="5377" width="13.140625" style="21" customWidth="1"/>
    <col min="5378" max="5378" width="9.42578125" style="21" customWidth="1"/>
    <col min="5379" max="5379" width="9.140625" style="21" customWidth="1"/>
    <col min="5380" max="5380" width="10.28515625" style="21" customWidth="1"/>
    <col min="5381" max="5381" width="11.5703125" style="21"/>
    <col min="5382" max="5382" width="10" style="21" customWidth="1"/>
    <col min="5383" max="5383" width="17.5703125" style="21" customWidth="1"/>
    <col min="5384" max="5384" width="5" style="21" customWidth="1"/>
    <col min="5385" max="5385" width="11.5703125" style="21"/>
    <col min="5386" max="5386" width="12.7109375" style="21" customWidth="1"/>
    <col min="5387" max="5388" width="11.5703125" style="21"/>
    <col min="5389" max="5389" width="2.140625" style="21" customWidth="1"/>
    <col min="5390" max="5632" width="11.5703125" style="21"/>
    <col min="5633" max="5633" width="13.140625" style="21" customWidth="1"/>
    <col min="5634" max="5634" width="9.42578125" style="21" customWidth="1"/>
    <col min="5635" max="5635" width="9.140625" style="21" customWidth="1"/>
    <col min="5636" max="5636" width="10.28515625" style="21" customWidth="1"/>
    <col min="5637" max="5637" width="11.5703125" style="21"/>
    <col min="5638" max="5638" width="10" style="21" customWidth="1"/>
    <col min="5639" max="5639" width="17.5703125" style="21" customWidth="1"/>
    <col min="5640" max="5640" width="5" style="21" customWidth="1"/>
    <col min="5641" max="5641" width="11.5703125" style="21"/>
    <col min="5642" max="5642" width="12.7109375" style="21" customWidth="1"/>
    <col min="5643" max="5644" width="11.5703125" style="21"/>
    <col min="5645" max="5645" width="2.140625" style="21" customWidth="1"/>
    <col min="5646" max="5888" width="11.5703125" style="21"/>
    <col min="5889" max="5889" width="13.140625" style="21" customWidth="1"/>
    <col min="5890" max="5890" width="9.42578125" style="21" customWidth="1"/>
    <col min="5891" max="5891" width="9.140625" style="21" customWidth="1"/>
    <col min="5892" max="5892" width="10.28515625" style="21" customWidth="1"/>
    <col min="5893" max="5893" width="11.5703125" style="21"/>
    <col min="5894" max="5894" width="10" style="21" customWidth="1"/>
    <col min="5895" max="5895" width="17.5703125" style="21" customWidth="1"/>
    <col min="5896" max="5896" width="5" style="21" customWidth="1"/>
    <col min="5897" max="5897" width="11.5703125" style="21"/>
    <col min="5898" max="5898" width="12.7109375" style="21" customWidth="1"/>
    <col min="5899" max="5900" width="11.5703125" style="21"/>
    <col min="5901" max="5901" width="2.140625" style="21" customWidth="1"/>
    <col min="5902" max="6144" width="11.5703125" style="21"/>
    <col min="6145" max="6145" width="13.140625" style="21" customWidth="1"/>
    <col min="6146" max="6146" width="9.42578125" style="21" customWidth="1"/>
    <col min="6147" max="6147" width="9.140625" style="21" customWidth="1"/>
    <col min="6148" max="6148" width="10.28515625" style="21" customWidth="1"/>
    <col min="6149" max="6149" width="11.5703125" style="21"/>
    <col min="6150" max="6150" width="10" style="21" customWidth="1"/>
    <col min="6151" max="6151" width="17.5703125" style="21" customWidth="1"/>
    <col min="6152" max="6152" width="5" style="21" customWidth="1"/>
    <col min="6153" max="6153" width="11.5703125" style="21"/>
    <col min="6154" max="6154" width="12.7109375" style="21" customWidth="1"/>
    <col min="6155" max="6156" width="11.5703125" style="21"/>
    <col min="6157" max="6157" width="2.140625" style="21" customWidth="1"/>
    <col min="6158" max="6400" width="11.5703125" style="21"/>
    <col min="6401" max="6401" width="13.140625" style="21" customWidth="1"/>
    <col min="6402" max="6402" width="9.42578125" style="21" customWidth="1"/>
    <col min="6403" max="6403" width="9.140625" style="21" customWidth="1"/>
    <col min="6404" max="6404" width="10.28515625" style="21" customWidth="1"/>
    <col min="6405" max="6405" width="11.5703125" style="21"/>
    <col min="6406" max="6406" width="10" style="21" customWidth="1"/>
    <col min="6407" max="6407" width="17.5703125" style="21" customWidth="1"/>
    <col min="6408" max="6408" width="5" style="21" customWidth="1"/>
    <col min="6409" max="6409" width="11.5703125" style="21"/>
    <col min="6410" max="6410" width="12.7109375" style="21" customWidth="1"/>
    <col min="6411" max="6412" width="11.5703125" style="21"/>
    <col min="6413" max="6413" width="2.140625" style="21" customWidth="1"/>
    <col min="6414" max="6656" width="11.5703125" style="21"/>
    <col min="6657" max="6657" width="13.140625" style="21" customWidth="1"/>
    <col min="6658" max="6658" width="9.42578125" style="21" customWidth="1"/>
    <col min="6659" max="6659" width="9.140625" style="21" customWidth="1"/>
    <col min="6660" max="6660" width="10.28515625" style="21" customWidth="1"/>
    <col min="6661" max="6661" width="11.5703125" style="21"/>
    <col min="6662" max="6662" width="10" style="21" customWidth="1"/>
    <col min="6663" max="6663" width="17.5703125" style="21" customWidth="1"/>
    <col min="6664" max="6664" width="5" style="21" customWidth="1"/>
    <col min="6665" max="6665" width="11.5703125" style="21"/>
    <col min="6666" max="6666" width="12.7109375" style="21" customWidth="1"/>
    <col min="6667" max="6668" width="11.5703125" style="21"/>
    <col min="6669" max="6669" width="2.140625" style="21" customWidth="1"/>
    <col min="6670" max="6912" width="11.5703125" style="21"/>
    <col min="6913" max="6913" width="13.140625" style="21" customWidth="1"/>
    <col min="6914" max="6914" width="9.42578125" style="21" customWidth="1"/>
    <col min="6915" max="6915" width="9.140625" style="21" customWidth="1"/>
    <col min="6916" max="6916" width="10.28515625" style="21" customWidth="1"/>
    <col min="6917" max="6917" width="11.5703125" style="21"/>
    <col min="6918" max="6918" width="10" style="21" customWidth="1"/>
    <col min="6919" max="6919" width="17.5703125" style="21" customWidth="1"/>
    <col min="6920" max="6920" width="5" style="21" customWidth="1"/>
    <col min="6921" max="6921" width="11.5703125" style="21"/>
    <col min="6922" max="6922" width="12.7109375" style="21" customWidth="1"/>
    <col min="6923" max="6924" width="11.5703125" style="21"/>
    <col min="6925" max="6925" width="2.140625" style="21" customWidth="1"/>
    <col min="6926" max="7168" width="11.5703125" style="21"/>
    <col min="7169" max="7169" width="13.140625" style="21" customWidth="1"/>
    <col min="7170" max="7170" width="9.42578125" style="21" customWidth="1"/>
    <col min="7171" max="7171" width="9.140625" style="21" customWidth="1"/>
    <col min="7172" max="7172" width="10.28515625" style="21" customWidth="1"/>
    <col min="7173" max="7173" width="11.5703125" style="21"/>
    <col min="7174" max="7174" width="10" style="21" customWidth="1"/>
    <col min="7175" max="7175" width="17.5703125" style="21" customWidth="1"/>
    <col min="7176" max="7176" width="5" style="21" customWidth="1"/>
    <col min="7177" max="7177" width="11.5703125" style="21"/>
    <col min="7178" max="7178" width="12.7109375" style="21" customWidth="1"/>
    <col min="7179" max="7180" width="11.5703125" style="21"/>
    <col min="7181" max="7181" width="2.140625" style="21" customWidth="1"/>
    <col min="7182" max="7424" width="11.5703125" style="21"/>
    <col min="7425" max="7425" width="13.140625" style="21" customWidth="1"/>
    <col min="7426" max="7426" width="9.42578125" style="21" customWidth="1"/>
    <col min="7427" max="7427" width="9.140625" style="21" customWidth="1"/>
    <col min="7428" max="7428" width="10.28515625" style="21" customWidth="1"/>
    <col min="7429" max="7429" width="11.5703125" style="21"/>
    <col min="7430" max="7430" width="10" style="21" customWidth="1"/>
    <col min="7431" max="7431" width="17.5703125" style="21" customWidth="1"/>
    <col min="7432" max="7432" width="5" style="21" customWidth="1"/>
    <col min="7433" max="7433" width="11.5703125" style="21"/>
    <col min="7434" max="7434" width="12.7109375" style="21" customWidth="1"/>
    <col min="7435" max="7436" width="11.5703125" style="21"/>
    <col min="7437" max="7437" width="2.140625" style="21" customWidth="1"/>
    <col min="7438" max="7680" width="11.5703125" style="21"/>
    <col min="7681" max="7681" width="13.140625" style="21" customWidth="1"/>
    <col min="7682" max="7682" width="9.42578125" style="21" customWidth="1"/>
    <col min="7683" max="7683" width="9.140625" style="21" customWidth="1"/>
    <col min="7684" max="7684" width="10.28515625" style="21" customWidth="1"/>
    <col min="7685" max="7685" width="11.5703125" style="21"/>
    <col min="7686" max="7686" width="10" style="21" customWidth="1"/>
    <col min="7687" max="7687" width="17.5703125" style="21" customWidth="1"/>
    <col min="7688" max="7688" width="5" style="21" customWidth="1"/>
    <col min="7689" max="7689" width="11.5703125" style="21"/>
    <col min="7690" max="7690" width="12.7109375" style="21" customWidth="1"/>
    <col min="7691" max="7692" width="11.5703125" style="21"/>
    <col min="7693" max="7693" width="2.140625" style="21" customWidth="1"/>
    <col min="7694" max="7936" width="11.5703125" style="21"/>
    <col min="7937" max="7937" width="13.140625" style="21" customWidth="1"/>
    <col min="7938" max="7938" width="9.42578125" style="21" customWidth="1"/>
    <col min="7939" max="7939" width="9.140625" style="21" customWidth="1"/>
    <col min="7940" max="7940" width="10.28515625" style="21" customWidth="1"/>
    <col min="7941" max="7941" width="11.5703125" style="21"/>
    <col min="7942" max="7942" width="10" style="21" customWidth="1"/>
    <col min="7943" max="7943" width="17.5703125" style="21" customWidth="1"/>
    <col min="7944" max="7944" width="5" style="21" customWidth="1"/>
    <col min="7945" max="7945" width="11.5703125" style="21"/>
    <col min="7946" max="7946" width="12.7109375" style="21" customWidth="1"/>
    <col min="7947" max="7948" width="11.5703125" style="21"/>
    <col min="7949" max="7949" width="2.140625" style="21" customWidth="1"/>
    <col min="7950" max="8192" width="11.5703125" style="21"/>
    <col min="8193" max="8193" width="13.140625" style="21" customWidth="1"/>
    <col min="8194" max="8194" width="9.42578125" style="21" customWidth="1"/>
    <col min="8195" max="8195" width="9.140625" style="21" customWidth="1"/>
    <col min="8196" max="8196" width="10.28515625" style="21" customWidth="1"/>
    <col min="8197" max="8197" width="11.5703125" style="21"/>
    <col min="8198" max="8198" width="10" style="21" customWidth="1"/>
    <col min="8199" max="8199" width="17.5703125" style="21" customWidth="1"/>
    <col min="8200" max="8200" width="5" style="21" customWidth="1"/>
    <col min="8201" max="8201" width="11.5703125" style="21"/>
    <col min="8202" max="8202" width="12.7109375" style="21" customWidth="1"/>
    <col min="8203" max="8204" width="11.5703125" style="21"/>
    <col min="8205" max="8205" width="2.140625" style="21" customWidth="1"/>
    <col min="8206" max="8448" width="11.5703125" style="21"/>
    <col min="8449" max="8449" width="13.140625" style="21" customWidth="1"/>
    <col min="8450" max="8450" width="9.42578125" style="21" customWidth="1"/>
    <col min="8451" max="8451" width="9.140625" style="21" customWidth="1"/>
    <col min="8452" max="8452" width="10.28515625" style="21" customWidth="1"/>
    <col min="8453" max="8453" width="11.5703125" style="21"/>
    <col min="8454" max="8454" width="10" style="21" customWidth="1"/>
    <col min="8455" max="8455" width="17.5703125" style="21" customWidth="1"/>
    <col min="8456" max="8456" width="5" style="21" customWidth="1"/>
    <col min="8457" max="8457" width="11.5703125" style="21"/>
    <col min="8458" max="8458" width="12.7109375" style="21" customWidth="1"/>
    <col min="8459" max="8460" width="11.5703125" style="21"/>
    <col min="8461" max="8461" width="2.140625" style="21" customWidth="1"/>
    <col min="8462" max="8704" width="11.5703125" style="21"/>
    <col min="8705" max="8705" width="13.140625" style="21" customWidth="1"/>
    <col min="8706" max="8706" width="9.42578125" style="21" customWidth="1"/>
    <col min="8707" max="8707" width="9.140625" style="21" customWidth="1"/>
    <col min="8708" max="8708" width="10.28515625" style="21" customWidth="1"/>
    <col min="8709" max="8709" width="11.5703125" style="21"/>
    <col min="8710" max="8710" width="10" style="21" customWidth="1"/>
    <col min="8711" max="8711" width="17.5703125" style="21" customWidth="1"/>
    <col min="8712" max="8712" width="5" style="21" customWidth="1"/>
    <col min="8713" max="8713" width="11.5703125" style="21"/>
    <col min="8714" max="8714" width="12.7109375" style="21" customWidth="1"/>
    <col min="8715" max="8716" width="11.5703125" style="21"/>
    <col min="8717" max="8717" width="2.140625" style="21" customWidth="1"/>
    <col min="8718" max="8960" width="11.5703125" style="21"/>
    <col min="8961" max="8961" width="13.140625" style="21" customWidth="1"/>
    <col min="8962" max="8962" width="9.42578125" style="21" customWidth="1"/>
    <col min="8963" max="8963" width="9.140625" style="21" customWidth="1"/>
    <col min="8964" max="8964" width="10.28515625" style="21" customWidth="1"/>
    <col min="8965" max="8965" width="11.5703125" style="21"/>
    <col min="8966" max="8966" width="10" style="21" customWidth="1"/>
    <col min="8967" max="8967" width="17.5703125" style="21" customWidth="1"/>
    <col min="8968" max="8968" width="5" style="21" customWidth="1"/>
    <col min="8969" max="8969" width="11.5703125" style="21"/>
    <col min="8970" max="8970" width="12.7109375" style="21" customWidth="1"/>
    <col min="8971" max="8972" width="11.5703125" style="21"/>
    <col min="8973" max="8973" width="2.140625" style="21" customWidth="1"/>
    <col min="8974" max="9216" width="11.5703125" style="21"/>
    <col min="9217" max="9217" width="13.140625" style="21" customWidth="1"/>
    <col min="9218" max="9218" width="9.42578125" style="21" customWidth="1"/>
    <col min="9219" max="9219" width="9.140625" style="21" customWidth="1"/>
    <col min="9220" max="9220" width="10.28515625" style="21" customWidth="1"/>
    <col min="9221" max="9221" width="11.5703125" style="21"/>
    <col min="9222" max="9222" width="10" style="21" customWidth="1"/>
    <col min="9223" max="9223" width="17.5703125" style="21" customWidth="1"/>
    <col min="9224" max="9224" width="5" style="21" customWidth="1"/>
    <col min="9225" max="9225" width="11.5703125" style="21"/>
    <col min="9226" max="9226" width="12.7109375" style="21" customWidth="1"/>
    <col min="9227" max="9228" width="11.5703125" style="21"/>
    <col min="9229" max="9229" width="2.140625" style="21" customWidth="1"/>
    <col min="9230" max="9472" width="11.5703125" style="21"/>
    <col min="9473" max="9473" width="13.140625" style="21" customWidth="1"/>
    <col min="9474" max="9474" width="9.42578125" style="21" customWidth="1"/>
    <col min="9475" max="9475" width="9.140625" style="21" customWidth="1"/>
    <col min="9476" max="9476" width="10.28515625" style="21" customWidth="1"/>
    <col min="9477" max="9477" width="11.5703125" style="21"/>
    <col min="9478" max="9478" width="10" style="21" customWidth="1"/>
    <col min="9479" max="9479" width="17.5703125" style="21" customWidth="1"/>
    <col min="9480" max="9480" width="5" style="21" customWidth="1"/>
    <col min="9481" max="9481" width="11.5703125" style="21"/>
    <col min="9482" max="9482" width="12.7109375" style="21" customWidth="1"/>
    <col min="9483" max="9484" width="11.5703125" style="21"/>
    <col min="9485" max="9485" width="2.140625" style="21" customWidth="1"/>
    <col min="9486" max="9728" width="11.5703125" style="21"/>
    <col min="9729" max="9729" width="13.140625" style="21" customWidth="1"/>
    <col min="9730" max="9730" width="9.42578125" style="21" customWidth="1"/>
    <col min="9731" max="9731" width="9.140625" style="21" customWidth="1"/>
    <col min="9732" max="9732" width="10.28515625" style="21" customWidth="1"/>
    <col min="9733" max="9733" width="11.5703125" style="21"/>
    <col min="9734" max="9734" width="10" style="21" customWidth="1"/>
    <col min="9735" max="9735" width="17.5703125" style="21" customWidth="1"/>
    <col min="9736" max="9736" width="5" style="21" customWidth="1"/>
    <col min="9737" max="9737" width="11.5703125" style="21"/>
    <col min="9738" max="9738" width="12.7109375" style="21" customWidth="1"/>
    <col min="9739" max="9740" width="11.5703125" style="21"/>
    <col min="9741" max="9741" width="2.140625" style="21" customWidth="1"/>
    <col min="9742" max="9984" width="11.5703125" style="21"/>
    <col min="9985" max="9985" width="13.140625" style="21" customWidth="1"/>
    <col min="9986" max="9986" width="9.42578125" style="21" customWidth="1"/>
    <col min="9987" max="9987" width="9.140625" style="21" customWidth="1"/>
    <col min="9988" max="9988" width="10.28515625" style="21" customWidth="1"/>
    <col min="9989" max="9989" width="11.5703125" style="21"/>
    <col min="9990" max="9990" width="10" style="21" customWidth="1"/>
    <col min="9991" max="9991" width="17.5703125" style="21" customWidth="1"/>
    <col min="9992" max="9992" width="5" style="21" customWidth="1"/>
    <col min="9993" max="9993" width="11.5703125" style="21"/>
    <col min="9994" max="9994" width="12.7109375" style="21" customWidth="1"/>
    <col min="9995" max="9996" width="11.5703125" style="21"/>
    <col min="9997" max="9997" width="2.140625" style="21" customWidth="1"/>
    <col min="9998" max="10240" width="11.5703125" style="21"/>
    <col min="10241" max="10241" width="13.140625" style="21" customWidth="1"/>
    <col min="10242" max="10242" width="9.42578125" style="21" customWidth="1"/>
    <col min="10243" max="10243" width="9.140625" style="21" customWidth="1"/>
    <col min="10244" max="10244" width="10.28515625" style="21" customWidth="1"/>
    <col min="10245" max="10245" width="11.5703125" style="21"/>
    <col min="10246" max="10246" width="10" style="21" customWidth="1"/>
    <col min="10247" max="10247" width="17.5703125" style="21" customWidth="1"/>
    <col min="10248" max="10248" width="5" style="21" customWidth="1"/>
    <col min="10249" max="10249" width="11.5703125" style="21"/>
    <col min="10250" max="10250" width="12.7109375" style="21" customWidth="1"/>
    <col min="10251" max="10252" width="11.5703125" style="21"/>
    <col min="10253" max="10253" width="2.140625" style="21" customWidth="1"/>
    <col min="10254" max="10496" width="11.5703125" style="21"/>
    <col min="10497" max="10497" width="13.140625" style="21" customWidth="1"/>
    <col min="10498" max="10498" width="9.42578125" style="21" customWidth="1"/>
    <col min="10499" max="10499" width="9.140625" style="21" customWidth="1"/>
    <col min="10500" max="10500" width="10.28515625" style="21" customWidth="1"/>
    <col min="10501" max="10501" width="11.5703125" style="21"/>
    <col min="10502" max="10502" width="10" style="21" customWidth="1"/>
    <col min="10503" max="10503" width="17.5703125" style="21" customWidth="1"/>
    <col min="10504" max="10504" width="5" style="21" customWidth="1"/>
    <col min="10505" max="10505" width="11.5703125" style="21"/>
    <col min="10506" max="10506" width="12.7109375" style="21" customWidth="1"/>
    <col min="10507" max="10508" width="11.5703125" style="21"/>
    <col min="10509" max="10509" width="2.140625" style="21" customWidth="1"/>
    <col min="10510" max="10752" width="11.5703125" style="21"/>
    <col min="10753" max="10753" width="13.140625" style="21" customWidth="1"/>
    <col min="10754" max="10754" width="9.42578125" style="21" customWidth="1"/>
    <col min="10755" max="10755" width="9.140625" style="21" customWidth="1"/>
    <col min="10756" max="10756" width="10.28515625" style="21" customWidth="1"/>
    <col min="10757" max="10757" width="11.5703125" style="21"/>
    <col min="10758" max="10758" width="10" style="21" customWidth="1"/>
    <col min="10759" max="10759" width="17.5703125" style="21" customWidth="1"/>
    <col min="10760" max="10760" width="5" style="21" customWidth="1"/>
    <col min="10761" max="10761" width="11.5703125" style="21"/>
    <col min="10762" max="10762" width="12.7109375" style="21" customWidth="1"/>
    <col min="10763" max="10764" width="11.5703125" style="21"/>
    <col min="10765" max="10765" width="2.140625" style="21" customWidth="1"/>
    <col min="10766" max="11008" width="11.5703125" style="21"/>
    <col min="11009" max="11009" width="13.140625" style="21" customWidth="1"/>
    <col min="11010" max="11010" width="9.42578125" style="21" customWidth="1"/>
    <col min="11011" max="11011" width="9.140625" style="21" customWidth="1"/>
    <col min="11012" max="11012" width="10.28515625" style="21" customWidth="1"/>
    <col min="11013" max="11013" width="11.5703125" style="21"/>
    <col min="11014" max="11014" width="10" style="21" customWidth="1"/>
    <col min="11015" max="11015" width="17.5703125" style="21" customWidth="1"/>
    <col min="11016" max="11016" width="5" style="21" customWidth="1"/>
    <col min="11017" max="11017" width="11.5703125" style="21"/>
    <col min="11018" max="11018" width="12.7109375" style="21" customWidth="1"/>
    <col min="11019" max="11020" width="11.5703125" style="21"/>
    <col min="11021" max="11021" width="2.140625" style="21" customWidth="1"/>
    <col min="11022" max="11264" width="11.5703125" style="21"/>
    <col min="11265" max="11265" width="13.140625" style="21" customWidth="1"/>
    <col min="11266" max="11266" width="9.42578125" style="21" customWidth="1"/>
    <col min="11267" max="11267" width="9.140625" style="21" customWidth="1"/>
    <col min="11268" max="11268" width="10.28515625" style="21" customWidth="1"/>
    <col min="11269" max="11269" width="11.5703125" style="21"/>
    <col min="11270" max="11270" width="10" style="21" customWidth="1"/>
    <col min="11271" max="11271" width="17.5703125" style="21" customWidth="1"/>
    <col min="11272" max="11272" width="5" style="21" customWidth="1"/>
    <col min="11273" max="11273" width="11.5703125" style="21"/>
    <col min="11274" max="11274" width="12.7109375" style="21" customWidth="1"/>
    <col min="11275" max="11276" width="11.5703125" style="21"/>
    <col min="11277" max="11277" width="2.140625" style="21" customWidth="1"/>
    <col min="11278" max="11520" width="11.5703125" style="21"/>
    <col min="11521" max="11521" width="13.140625" style="21" customWidth="1"/>
    <col min="11522" max="11522" width="9.42578125" style="21" customWidth="1"/>
    <col min="11523" max="11523" width="9.140625" style="21" customWidth="1"/>
    <col min="11524" max="11524" width="10.28515625" style="21" customWidth="1"/>
    <col min="11525" max="11525" width="11.5703125" style="21"/>
    <col min="11526" max="11526" width="10" style="21" customWidth="1"/>
    <col min="11527" max="11527" width="17.5703125" style="21" customWidth="1"/>
    <col min="11528" max="11528" width="5" style="21" customWidth="1"/>
    <col min="11529" max="11529" width="11.5703125" style="21"/>
    <col min="11530" max="11530" width="12.7109375" style="21" customWidth="1"/>
    <col min="11531" max="11532" width="11.5703125" style="21"/>
    <col min="11533" max="11533" width="2.140625" style="21" customWidth="1"/>
    <col min="11534" max="11776" width="11.5703125" style="21"/>
    <col min="11777" max="11777" width="13.140625" style="21" customWidth="1"/>
    <col min="11778" max="11778" width="9.42578125" style="21" customWidth="1"/>
    <col min="11779" max="11779" width="9.140625" style="21" customWidth="1"/>
    <col min="11780" max="11780" width="10.28515625" style="21" customWidth="1"/>
    <col min="11781" max="11781" width="11.5703125" style="21"/>
    <col min="11782" max="11782" width="10" style="21" customWidth="1"/>
    <col min="11783" max="11783" width="17.5703125" style="21" customWidth="1"/>
    <col min="11784" max="11784" width="5" style="21" customWidth="1"/>
    <col min="11785" max="11785" width="11.5703125" style="21"/>
    <col min="11786" max="11786" width="12.7109375" style="21" customWidth="1"/>
    <col min="11787" max="11788" width="11.5703125" style="21"/>
    <col min="11789" max="11789" width="2.140625" style="21" customWidth="1"/>
    <col min="11790" max="12032" width="11.5703125" style="21"/>
    <col min="12033" max="12033" width="13.140625" style="21" customWidth="1"/>
    <col min="12034" max="12034" width="9.42578125" style="21" customWidth="1"/>
    <col min="12035" max="12035" width="9.140625" style="21" customWidth="1"/>
    <col min="12036" max="12036" width="10.28515625" style="21" customWidth="1"/>
    <col min="12037" max="12037" width="11.5703125" style="21"/>
    <col min="12038" max="12038" width="10" style="21" customWidth="1"/>
    <col min="12039" max="12039" width="17.5703125" style="21" customWidth="1"/>
    <col min="12040" max="12040" width="5" style="21" customWidth="1"/>
    <col min="12041" max="12041" width="11.5703125" style="21"/>
    <col min="12042" max="12042" width="12.7109375" style="21" customWidth="1"/>
    <col min="12043" max="12044" width="11.5703125" style="21"/>
    <col min="12045" max="12045" width="2.140625" style="21" customWidth="1"/>
    <col min="12046" max="12288" width="11.5703125" style="21"/>
    <col min="12289" max="12289" width="13.140625" style="21" customWidth="1"/>
    <col min="12290" max="12290" width="9.42578125" style="21" customWidth="1"/>
    <col min="12291" max="12291" width="9.140625" style="21" customWidth="1"/>
    <col min="12292" max="12292" width="10.28515625" style="21" customWidth="1"/>
    <col min="12293" max="12293" width="11.5703125" style="21"/>
    <col min="12294" max="12294" width="10" style="21" customWidth="1"/>
    <col min="12295" max="12295" width="17.5703125" style="21" customWidth="1"/>
    <col min="12296" max="12296" width="5" style="21" customWidth="1"/>
    <col min="12297" max="12297" width="11.5703125" style="21"/>
    <col min="12298" max="12298" width="12.7109375" style="21" customWidth="1"/>
    <col min="12299" max="12300" width="11.5703125" style="21"/>
    <col min="12301" max="12301" width="2.140625" style="21" customWidth="1"/>
    <col min="12302" max="12544" width="11.5703125" style="21"/>
    <col min="12545" max="12545" width="13.140625" style="21" customWidth="1"/>
    <col min="12546" max="12546" width="9.42578125" style="21" customWidth="1"/>
    <col min="12547" max="12547" width="9.140625" style="21" customWidth="1"/>
    <col min="12548" max="12548" width="10.28515625" style="21" customWidth="1"/>
    <col min="12549" max="12549" width="11.5703125" style="21"/>
    <col min="12550" max="12550" width="10" style="21" customWidth="1"/>
    <col min="12551" max="12551" width="17.5703125" style="21" customWidth="1"/>
    <col min="12552" max="12552" width="5" style="21" customWidth="1"/>
    <col min="12553" max="12553" width="11.5703125" style="21"/>
    <col min="12554" max="12554" width="12.7109375" style="21" customWidth="1"/>
    <col min="12555" max="12556" width="11.5703125" style="21"/>
    <col min="12557" max="12557" width="2.140625" style="21" customWidth="1"/>
    <col min="12558" max="12800" width="11.5703125" style="21"/>
    <col min="12801" max="12801" width="13.140625" style="21" customWidth="1"/>
    <col min="12802" max="12802" width="9.42578125" style="21" customWidth="1"/>
    <col min="12803" max="12803" width="9.140625" style="21" customWidth="1"/>
    <col min="12804" max="12804" width="10.28515625" style="21" customWidth="1"/>
    <col min="12805" max="12805" width="11.5703125" style="21"/>
    <col min="12806" max="12806" width="10" style="21" customWidth="1"/>
    <col min="12807" max="12807" width="17.5703125" style="21" customWidth="1"/>
    <col min="12808" max="12808" width="5" style="21" customWidth="1"/>
    <col min="12809" max="12809" width="11.5703125" style="21"/>
    <col min="12810" max="12810" width="12.7109375" style="21" customWidth="1"/>
    <col min="12811" max="12812" width="11.5703125" style="21"/>
    <col min="12813" max="12813" width="2.140625" style="21" customWidth="1"/>
    <col min="12814" max="13056" width="11.5703125" style="21"/>
    <col min="13057" max="13057" width="13.140625" style="21" customWidth="1"/>
    <col min="13058" max="13058" width="9.42578125" style="21" customWidth="1"/>
    <col min="13059" max="13059" width="9.140625" style="21" customWidth="1"/>
    <col min="13060" max="13060" width="10.28515625" style="21" customWidth="1"/>
    <col min="13061" max="13061" width="11.5703125" style="21"/>
    <col min="13062" max="13062" width="10" style="21" customWidth="1"/>
    <col min="13063" max="13063" width="17.5703125" style="21" customWidth="1"/>
    <col min="13064" max="13064" width="5" style="21" customWidth="1"/>
    <col min="13065" max="13065" width="11.5703125" style="21"/>
    <col min="13066" max="13066" width="12.7109375" style="21" customWidth="1"/>
    <col min="13067" max="13068" width="11.5703125" style="21"/>
    <col min="13069" max="13069" width="2.140625" style="21" customWidth="1"/>
    <col min="13070" max="13312" width="11.5703125" style="21"/>
    <col min="13313" max="13313" width="13.140625" style="21" customWidth="1"/>
    <col min="13314" max="13314" width="9.42578125" style="21" customWidth="1"/>
    <col min="13315" max="13315" width="9.140625" style="21" customWidth="1"/>
    <col min="13316" max="13316" width="10.28515625" style="21" customWidth="1"/>
    <col min="13317" max="13317" width="11.5703125" style="21"/>
    <col min="13318" max="13318" width="10" style="21" customWidth="1"/>
    <col min="13319" max="13319" width="17.5703125" style="21" customWidth="1"/>
    <col min="13320" max="13320" width="5" style="21" customWidth="1"/>
    <col min="13321" max="13321" width="11.5703125" style="21"/>
    <col min="13322" max="13322" width="12.7109375" style="21" customWidth="1"/>
    <col min="13323" max="13324" width="11.5703125" style="21"/>
    <col min="13325" max="13325" width="2.140625" style="21" customWidth="1"/>
    <col min="13326" max="13568" width="11.5703125" style="21"/>
    <col min="13569" max="13569" width="13.140625" style="21" customWidth="1"/>
    <col min="13570" max="13570" width="9.42578125" style="21" customWidth="1"/>
    <col min="13571" max="13571" width="9.140625" style="21" customWidth="1"/>
    <col min="13572" max="13572" width="10.28515625" style="21" customWidth="1"/>
    <col min="13573" max="13573" width="11.5703125" style="21"/>
    <col min="13574" max="13574" width="10" style="21" customWidth="1"/>
    <col min="13575" max="13575" width="17.5703125" style="21" customWidth="1"/>
    <col min="13576" max="13576" width="5" style="21" customWidth="1"/>
    <col min="13577" max="13577" width="11.5703125" style="21"/>
    <col min="13578" max="13578" width="12.7109375" style="21" customWidth="1"/>
    <col min="13579" max="13580" width="11.5703125" style="21"/>
    <col min="13581" max="13581" width="2.140625" style="21" customWidth="1"/>
    <col min="13582" max="13824" width="11.5703125" style="21"/>
    <col min="13825" max="13825" width="13.140625" style="21" customWidth="1"/>
    <col min="13826" max="13826" width="9.42578125" style="21" customWidth="1"/>
    <col min="13827" max="13827" width="9.140625" style="21" customWidth="1"/>
    <col min="13828" max="13828" width="10.28515625" style="21" customWidth="1"/>
    <col min="13829" max="13829" width="11.5703125" style="21"/>
    <col min="13830" max="13830" width="10" style="21" customWidth="1"/>
    <col min="13831" max="13831" width="17.5703125" style="21" customWidth="1"/>
    <col min="13832" max="13832" width="5" style="21" customWidth="1"/>
    <col min="13833" max="13833" width="11.5703125" style="21"/>
    <col min="13834" max="13834" width="12.7109375" style="21" customWidth="1"/>
    <col min="13835" max="13836" width="11.5703125" style="21"/>
    <col min="13837" max="13837" width="2.140625" style="21" customWidth="1"/>
    <col min="13838" max="14080" width="11.5703125" style="21"/>
    <col min="14081" max="14081" width="13.140625" style="21" customWidth="1"/>
    <col min="14082" max="14082" width="9.42578125" style="21" customWidth="1"/>
    <col min="14083" max="14083" width="9.140625" style="21" customWidth="1"/>
    <col min="14084" max="14084" width="10.28515625" style="21" customWidth="1"/>
    <col min="14085" max="14085" width="11.5703125" style="21"/>
    <col min="14086" max="14086" width="10" style="21" customWidth="1"/>
    <col min="14087" max="14087" width="17.5703125" style="21" customWidth="1"/>
    <col min="14088" max="14088" width="5" style="21" customWidth="1"/>
    <col min="14089" max="14089" width="11.5703125" style="21"/>
    <col min="14090" max="14090" width="12.7109375" style="21" customWidth="1"/>
    <col min="14091" max="14092" width="11.5703125" style="21"/>
    <col min="14093" max="14093" width="2.140625" style="21" customWidth="1"/>
    <col min="14094" max="14336" width="11.5703125" style="21"/>
    <col min="14337" max="14337" width="13.140625" style="21" customWidth="1"/>
    <col min="14338" max="14338" width="9.42578125" style="21" customWidth="1"/>
    <col min="14339" max="14339" width="9.140625" style="21" customWidth="1"/>
    <col min="14340" max="14340" width="10.28515625" style="21" customWidth="1"/>
    <col min="14341" max="14341" width="11.5703125" style="21"/>
    <col min="14342" max="14342" width="10" style="21" customWidth="1"/>
    <col min="14343" max="14343" width="17.5703125" style="21" customWidth="1"/>
    <col min="14344" max="14344" width="5" style="21" customWidth="1"/>
    <col min="14345" max="14345" width="11.5703125" style="21"/>
    <col min="14346" max="14346" width="12.7109375" style="21" customWidth="1"/>
    <col min="14347" max="14348" width="11.5703125" style="21"/>
    <col min="14349" max="14349" width="2.140625" style="21" customWidth="1"/>
    <col min="14350" max="14592" width="11.5703125" style="21"/>
    <col min="14593" max="14593" width="13.140625" style="21" customWidth="1"/>
    <col min="14594" max="14594" width="9.42578125" style="21" customWidth="1"/>
    <col min="14595" max="14595" width="9.140625" style="21" customWidth="1"/>
    <col min="14596" max="14596" width="10.28515625" style="21" customWidth="1"/>
    <col min="14597" max="14597" width="11.5703125" style="21"/>
    <col min="14598" max="14598" width="10" style="21" customWidth="1"/>
    <col min="14599" max="14599" width="17.5703125" style="21" customWidth="1"/>
    <col min="14600" max="14600" width="5" style="21" customWidth="1"/>
    <col min="14601" max="14601" width="11.5703125" style="21"/>
    <col min="14602" max="14602" width="12.7109375" style="21" customWidth="1"/>
    <col min="14603" max="14604" width="11.5703125" style="21"/>
    <col min="14605" max="14605" width="2.140625" style="21" customWidth="1"/>
    <col min="14606" max="14848" width="11.5703125" style="21"/>
    <col min="14849" max="14849" width="13.140625" style="21" customWidth="1"/>
    <col min="14850" max="14850" width="9.42578125" style="21" customWidth="1"/>
    <col min="14851" max="14851" width="9.140625" style="21" customWidth="1"/>
    <col min="14852" max="14852" width="10.28515625" style="21" customWidth="1"/>
    <col min="14853" max="14853" width="11.5703125" style="21"/>
    <col min="14854" max="14854" width="10" style="21" customWidth="1"/>
    <col min="14855" max="14855" width="17.5703125" style="21" customWidth="1"/>
    <col min="14856" max="14856" width="5" style="21" customWidth="1"/>
    <col min="14857" max="14857" width="11.5703125" style="21"/>
    <col min="14858" max="14858" width="12.7109375" style="21" customWidth="1"/>
    <col min="14859" max="14860" width="11.5703125" style="21"/>
    <col min="14861" max="14861" width="2.140625" style="21" customWidth="1"/>
    <col min="14862" max="15104" width="11.5703125" style="21"/>
    <col min="15105" max="15105" width="13.140625" style="21" customWidth="1"/>
    <col min="15106" max="15106" width="9.42578125" style="21" customWidth="1"/>
    <col min="15107" max="15107" width="9.140625" style="21" customWidth="1"/>
    <col min="15108" max="15108" width="10.28515625" style="21" customWidth="1"/>
    <col min="15109" max="15109" width="11.5703125" style="21"/>
    <col min="15110" max="15110" width="10" style="21" customWidth="1"/>
    <col min="15111" max="15111" width="17.5703125" style="21" customWidth="1"/>
    <col min="15112" max="15112" width="5" style="21" customWidth="1"/>
    <col min="15113" max="15113" width="11.5703125" style="21"/>
    <col min="15114" max="15114" width="12.7109375" style="21" customWidth="1"/>
    <col min="15115" max="15116" width="11.5703125" style="21"/>
    <col min="15117" max="15117" width="2.140625" style="21" customWidth="1"/>
    <col min="15118" max="15360" width="11.5703125" style="21"/>
    <col min="15361" max="15361" width="13.140625" style="21" customWidth="1"/>
    <col min="15362" max="15362" width="9.42578125" style="21" customWidth="1"/>
    <col min="15363" max="15363" width="9.140625" style="21" customWidth="1"/>
    <col min="15364" max="15364" width="10.28515625" style="21" customWidth="1"/>
    <col min="15365" max="15365" width="11.5703125" style="21"/>
    <col min="15366" max="15366" width="10" style="21" customWidth="1"/>
    <col min="15367" max="15367" width="17.5703125" style="21" customWidth="1"/>
    <col min="15368" max="15368" width="5" style="21" customWidth="1"/>
    <col min="15369" max="15369" width="11.5703125" style="21"/>
    <col min="15370" max="15370" width="12.7109375" style="21" customWidth="1"/>
    <col min="15371" max="15372" width="11.5703125" style="21"/>
    <col min="15373" max="15373" width="2.140625" style="21" customWidth="1"/>
    <col min="15374" max="15616" width="11.5703125" style="21"/>
    <col min="15617" max="15617" width="13.140625" style="21" customWidth="1"/>
    <col min="15618" max="15618" width="9.42578125" style="21" customWidth="1"/>
    <col min="15619" max="15619" width="9.140625" style="21" customWidth="1"/>
    <col min="15620" max="15620" width="10.28515625" style="21" customWidth="1"/>
    <col min="15621" max="15621" width="11.5703125" style="21"/>
    <col min="15622" max="15622" width="10" style="21" customWidth="1"/>
    <col min="15623" max="15623" width="17.5703125" style="21" customWidth="1"/>
    <col min="15624" max="15624" width="5" style="21" customWidth="1"/>
    <col min="15625" max="15625" width="11.5703125" style="21"/>
    <col min="15626" max="15626" width="12.7109375" style="21" customWidth="1"/>
    <col min="15627" max="15628" width="11.5703125" style="21"/>
    <col min="15629" max="15629" width="2.140625" style="21" customWidth="1"/>
    <col min="15630" max="15872" width="11.5703125" style="21"/>
    <col min="15873" max="15873" width="13.140625" style="21" customWidth="1"/>
    <col min="15874" max="15874" width="9.42578125" style="21" customWidth="1"/>
    <col min="15875" max="15875" width="9.140625" style="21" customWidth="1"/>
    <col min="15876" max="15876" width="10.28515625" style="21" customWidth="1"/>
    <col min="15877" max="15877" width="11.5703125" style="21"/>
    <col min="15878" max="15878" width="10" style="21" customWidth="1"/>
    <col min="15879" max="15879" width="17.5703125" style="21" customWidth="1"/>
    <col min="15880" max="15880" width="5" style="21" customWidth="1"/>
    <col min="15881" max="15881" width="11.5703125" style="21"/>
    <col min="15882" max="15882" width="12.7109375" style="21" customWidth="1"/>
    <col min="15883" max="15884" width="11.5703125" style="21"/>
    <col min="15885" max="15885" width="2.140625" style="21" customWidth="1"/>
    <col min="15886" max="16128" width="11.5703125" style="21"/>
    <col min="16129" max="16129" width="13.140625" style="21" customWidth="1"/>
    <col min="16130" max="16130" width="9.42578125" style="21" customWidth="1"/>
    <col min="16131" max="16131" width="9.140625" style="21" customWidth="1"/>
    <col min="16132" max="16132" width="10.28515625" style="21" customWidth="1"/>
    <col min="16133" max="16133" width="11.5703125" style="21"/>
    <col min="16134" max="16134" width="10" style="21" customWidth="1"/>
    <col min="16135" max="16135" width="17.5703125" style="21" customWidth="1"/>
    <col min="16136" max="16136" width="5" style="21" customWidth="1"/>
    <col min="16137" max="16137" width="11.5703125" style="21"/>
    <col min="16138" max="16138" width="12.7109375" style="21" customWidth="1"/>
    <col min="16139" max="16140" width="11.5703125" style="21"/>
    <col min="16141" max="16141" width="2.140625" style="21" customWidth="1"/>
    <col min="16142" max="16384" width="11.5703125" style="21"/>
  </cols>
  <sheetData>
    <row r="1" spans="1:17" x14ac:dyDescent="0.2">
      <c r="A1" s="29" t="s">
        <v>61</v>
      </c>
    </row>
    <row r="2" spans="1:17" x14ac:dyDescent="0.2">
      <c r="A2" s="29" t="s">
        <v>62</v>
      </c>
    </row>
    <row r="3" spans="1:17" x14ac:dyDescent="0.2">
      <c r="A3" s="29" t="s">
        <v>63</v>
      </c>
    </row>
    <row r="4" spans="1:17" x14ac:dyDescent="0.2">
      <c r="A4" s="22"/>
    </row>
    <row r="5" spans="1:17" x14ac:dyDescent="0.2">
      <c r="A5" s="30" t="s">
        <v>89</v>
      </c>
    </row>
    <row r="6" spans="1:17" x14ac:dyDescent="0.2">
      <c r="A6" s="30"/>
    </row>
    <row r="7" spans="1:17" x14ac:dyDescent="0.2">
      <c r="A7" s="24" t="s">
        <v>64</v>
      </c>
      <c r="B7" s="31"/>
      <c r="C7" s="211" t="s">
        <v>336</v>
      </c>
      <c r="D7" s="212"/>
      <c r="E7" s="213"/>
      <c r="F7" s="26"/>
      <c r="G7" s="24" t="s">
        <v>65</v>
      </c>
      <c r="H7" s="211" t="s">
        <v>335</v>
      </c>
      <c r="I7" s="212"/>
      <c r="J7" s="213"/>
    </row>
    <row r="8" spans="1:17" x14ac:dyDescent="0.2">
      <c r="A8" s="24" t="s">
        <v>66</v>
      </c>
      <c r="B8" s="31"/>
      <c r="C8" s="214" t="s">
        <v>150</v>
      </c>
      <c r="D8" s="215"/>
      <c r="E8" s="216"/>
      <c r="F8" s="26"/>
      <c r="G8" s="24" t="s">
        <v>2</v>
      </c>
      <c r="H8" s="211" t="s">
        <v>343</v>
      </c>
      <c r="I8" s="212"/>
      <c r="J8" s="213"/>
    </row>
    <row r="9" spans="1:17" x14ac:dyDescent="0.2">
      <c r="A9" s="24"/>
      <c r="B9" s="31"/>
      <c r="C9" s="108">
        <v>5</v>
      </c>
      <c r="D9" s="108">
        <v>1</v>
      </c>
      <c r="E9" s="109">
        <v>2025</v>
      </c>
      <c r="F9" s="26"/>
      <c r="G9" s="24" t="s">
        <v>90</v>
      </c>
      <c r="H9" s="108"/>
      <c r="I9" s="108"/>
      <c r="J9" s="109"/>
    </row>
    <row r="10" spans="1:17" x14ac:dyDescent="0.2">
      <c r="A10" s="32"/>
      <c r="C10" s="34" t="s">
        <v>171</v>
      </c>
      <c r="D10" s="34" t="s">
        <v>118</v>
      </c>
      <c r="E10" s="34" t="s">
        <v>119</v>
      </c>
      <c r="F10" s="26"/>
      <c r="G10" s="32"/>
      <c r="H10" s="34" t="s">
        <v>171</v>
      </c>
      <c r="I10" s="34" t="s">
        <v>118</v>
      </c>
      <c r="J10" s="34" t="s">
        <v>119</v>
      </c>
    </row>
    <row r="11" spans="1:17" x14ac:dyDescent="0.2">
      <c r="A11" s="217" t="s">
        <v>91</v>
      </c>
      <c r="B11" s="217"/>
      <c r="C11" s="99"/>
      <c r="D11" s="99"/>
      <c r="E11" s="99"/>
      <c r="F11" s="99"/>
      <c r="G11" s="99"/>
      <c r="H11" s="99"/>
      <c r="I11" s="26"/>
    </row>
    <row r="12" spans="1:17" x14ac:dyDescent="0.2">
      <c r="A12" s="45" t="s">
        <v>95</v>
      </c>
      <c r="B12" s="45">
        <v>2</v>
      </c>
    </row>
    <row r="13" spans="1:17" x14ac:dyDescent="0.2">
      <c r="A13" s="33" t="s">
        <v>324</v>
      </c>
      <c r="B13" s="33" t="s">
        <v>325</v>
      </c>
      <c r="C13" s="34"/>
      <c r="D13" s="218" t="s">
        <v>43</v>
      </c>
      <c r="E13" s="219"/>
      <c r="F13" s="219"/>
      <c r="G13" s="220"/>
      <c r="I13" s="221" t="s">
        <v>82</v>
      </c>
      <c r="J13" s="221"/>
      <c r="K13" s="221"/>
      <c r="L13" s="221"/>
      <c r="N13" s="222" t="s">
        <v>92</v>
      </c>
      <c r="O13" s="222"/>
      <c r="P13" s="222"/>
      <c r="Q13" s="222"/>
    </row>
    <row r="14" spans="1:17" x14ac:dyDescent="0.2">
      <c r="A14" s="35">
        <v>45656</v>
      </c>
      <c r="B14" s="36">
        <v>2</v>
      </c>
      <c r="C14" s="86"/>
      <c r="D14" s="37" t="s">
        <v>93</v>
      </c>
      <c r="E14" s="37" t="s">
        <v>85</v>
      </c>
      <c r="F14" s="37" t="s">
        <v>86</v>
      </c>
      <c r="G14" s="37" t="s">
        <v>50</v>
      </c>
      <c r="H14" s="87"/>
      <c r="I14" s="223" t="s">
        <v>82</v>
      </c>
      <c r="J14" s="223"/>
      <c r="K14" s="37" t="s">
        <v>50</v>
      </c>
      <c r="L14" s="37" t="s">
        <v>42</v>
      </c>
      <c r="N14" s="224" t="s">
        <v>94</v>
      </c>
      <c r="O14" s="224"/>
      <c r="P14" s="33" t="s">
        <v>50</v>
      </c>
      <c r="Q14" s="33" t="s">
        <v>42</v>
      </c>
    </row>
    <row r="15" spans="1:17" ht="13.15" customHeight="1" x14ac:dyDescent="0.2">
      <c r="A15" s="35"/>
      <c r="B15" s="36"/>
      <c r="C15" s="86"/>
      <c r="D15" s="38" t="s">
        <v>21</v>
      </c>
      <c r="E15" s="39">
        <v>0</v>
      </c>
      <c r="F15" s="39">
        <v>0</v>
      </c>
      <c r="G15" s="39">
        <v>0</v>
      </c>
      <c r="H15" s="87"/>
      <c r="I15" s="225" t="s">
        <v>329</v>
      </c>
      <c r="J15" s="226"/>
      <c r="K15" s="39">
        <v>2</v>
      </c>
      <c r="L15" s="80">
        <v>100</v>
      </c>
      <c r="N15" s="227" t="s">
        <v>150</v>
      </c>
      <c r="O15" s="227"/>
      <c r="P15" s="39">
        <v>2</v>
      </c>
      <c r="Q15" s="80">
        <v>100</v>
      </c>
    </row>
    <row r="16" spans="1:17" x14ac:dyDescent="0.2">
      <c r="A16" s="35"/>
      <c r="B16" s="36"/>
      <c r="C16" s="86"/>
      <c r="D16" s="40" t="s">
        <v>22</v>
      </c>
      <c r="E16" s="39">
        <v>0</v>
      </c>
      <c r="F16" s="39">
        <v>1</v>
      </c>
      <c r="G16" s="39">
        <v>1</v>
      </c>
      <c r="H16" s="87"/>
      <c r="I16" s="225" t="s">
        <v>331</v>
      </c>
      <c r="J16" s="226"/>
      <c r="K16" s="39">
        <v>1</v>
      </c>
      <c r="L16" s="80">
        <v>50</v>
      </c>
      <c r="N16" s="227" t="s">
        <v>113</v>
      </c>
      <c r="O16" s="227"/>
      <c r="P16" s="39">
        <v>0</v>
      </c>
      <c r="Q16" s="80">
        <v>0</v>
      </c>
    </row>
    <row r="17" spans="1:17" ht="13.15" customHeight="1" x14ac:dyDescent="0.2">
      <c r="A17" s="35"/>
      <c r="B17" s="36"/>
      <c r="C17" s="86"/>
      <c r="D17" s="41" t="s">
        <v>23</v>
      </c>
      <c r="E17" s="39">
        <v>1</v>
      </c>
      <c r="F17" s="39">
        <v>0</v>
      </c>
      <c r="G17" s="39">
        <v>1</v>
      </c>
      <c r="H17" s="87"/>
      <c r="I17" s="225" t="s">
        <v>332</v>
      </c>
      <c r="J17" s="226"/>
      <c r="K17" s="39">
        <v>1</v>
      </c>
      <c r="L17" s="80">
        <v>50</v>
      </c>
      <c r="N17" s="227" t="s">
        <v>152</v>
      </c>
      <c r="O17" s="227"/>
      <c r="P17" s="39">
        <v>0</v>
      </c>
      <c r="Q17" s="80">
        <v>0</v>
      </c>
    </row>
    <row r="18" spans="1:17" ht="13.15" customHeight="1" x14ac:dyDescent="0.2">
      <c r="A18" s="35"/>
      <c r="B18" s="36"/>
      <c r="C18" s="86"/>
      <c r="D18" s="38" t="s">
        <v>24</v>
      </c>
      <c r="E18" s="39">
        <v>0</v>
      </c>
      <c r="F18" s="39">
        <v>0</v>
      </c>
      <c r="G18" s="39">
        <v>0</v>
      </c>
      <c r="H18" s="87"/>
      <c r="I18" s="225" t="s">
        <v>354</v>
      </c>
      <c r="J18" s="226"/>
      <c r="K18" s="39">
        <v>2</v>
      </c>
      <c r="L18" s="80">
        <v>100</v>
      </c>
      <c r="N18" s="227" t="s">
        <v>153</v>
      </c>
      <c r="O18" s="227"/>
      <c r="P18" s="39">
        <v>0</v>
      </c>
      <c r="Q18" s="80">
        <v>0</v>
      </c>
    </row>
    <row r="19" spans="1:17" ht="13.15" customHeight="1" x14ac:dyDescent="0.2">
      <c r="A19" s="35"/>
      <c r="B19" s="36"/>
      <c r="C19" s="86"/>
      <c r="D19" s="38" t="s">
        <v>25</v>
      </c>
      <c r="E19" s="39">
        <v>0</v>
      </c>
      <c r="F19" s="39">
        <v>0</v>
      </c>
      <c r="G19" s="39">
        <v>0</v>
      </c>
      <c r="I19" s="225"/>
      <c r="J19" s="226"/>
      <c r="K19" s="39"/>
      <c r="L19" s="80"/>
      <c r="N19" s="227" t="s">
        <v>154</v>
      </c>
      <c r="O19" s="227"/>
      <c r="P19" s="39">
        <v>0</v>
      </c>
      <c r="Q19" s="80">
        <v>0</v>
      </c>
    </row>
    <row r="20" spans="1:17" ht="13.15" customHeight="1" x14ac:dyDescent="0.2">
      <c r="A20" s="35"/>
      <c r="B20" s="36"/>
      <c r="C20" s="86"/>
      <c r="D20" s="38" t="s">
        <v>26</v>
      </c>
      <c r="E20" s="39">
        <v>0</v>
      </c>
      <c r="F20" s="39">
        <v>0</v>
      </c>
      <c r="G20" s="39">
        <v>0</v>
      </c>
      <c r="I20" s="225"/>
      <c r="J20" s="226"/>
      <c r="K20" s="39"/>
      <c r="L20" s="80"/>
      <c r="N20" s="227" t="s">
        <v>115</v>
      </c>
      <c r="O20" s="227"/>
      <c r="P20" s="39">
        <v>0</v>
      </c>
      <c r="Q20" s="80">
        <v>0</v>
      </c>
    </row>
    <row r="21" spans="1:17" ht="13.15" customHeight="1" x14ac:dyDescent="0.2">
      <c r="A21" s="35"/>
      <c r="B21" s="36"/>
      <c r="C21" s="86"/>
      <c r="D21" s="38" t="s">
        <v>27</v>
      </c>
      <c r="E21" s="39">
        <v>0</v>
      </c>
      <c r="F21" s="39">
        <v>0</v>
      </c>
      <c r="G21" s="39">
        <v>0</v>
      </c>
      <c r="I21" s="225"/>
      <c r="J21" s="226"/>
      <c r="K21" s="39"/>
      <c r="L21" s="80"/>
      <c r="N21" s="233" t="s">
        <v>50</v>
      </c>
      <c r="O21" s="233"/>
      <c r="P21" s="42">
        <v>2</v>
      </c>
      <c r="Q21" s="81">
        <v>100</v>
      </c>
    </row>
    <row r="22" spans="1:17" ht="13.15" customHeight="1" x14ac:dyDescent="0.2">
      <c r="A22" s="35"/>
      <c r="B22" s="36"/>
      <c r="C22" s="86"/>
      <c r="D22" s="38" t="s">
        <v>28</v>
      </c>
      <c r="E22" s="39">
        <v>0</v>
      </c>
      <c r="F22" s="39">
        <v>0</v>
      </c>
      <c r="G22" s="39">
        <v>0</v>
      </c>
      <c r="I22" s="225"/>
      <c r="J22" s="226"/>
      <c r="K22" s="39"/>
      <c r="L22" s="80"/>
      <c r="N22" s="230"/>
      <c r="O22" s="230"/>
      <c r="P22" s="26"/>
      <c r="Q22" s="43"/>
    </row>
    <row r="23" spans="1:17" ht="13.15" customHeight="1" x14ac:dyDescent="0.2">
      <c r="A23" s="35"/>
      <c r="B23" s="36"/>
      <c r="C23" s="86"/>
      <c r="D23" s="44" t="s">
        <v>29</v>
      </c>
      <c r="E23" s="42">
        <v>1</v>
      </c>
      <c r="F23" s="42">
        <v>1</v>
      </c>
      <c r="G23" s="42">
        <v>2</v>
      </c>
      <c r="I23" s="231"/>
      <c r="J23" s="232"/>
      <c r="K23" s="39"/>
      <c r="L23" s="80"/>
      <c r="N23" s="230"/>
      <c r="O23" s="230"/>
      <c r="P23" s="26"/>
      <c r="Q23" s="43"/>
    </row>
    <row r="24" spans="1:17" ht="13.15" customHeight="1" x14ac:dyDescent="0.2">
      <c r="A24" s="35"/>
      <c r="B24" s="36"/>
      <c r="C24" s="86"/>
      <c r="I24" s="231"/>
      <c r="J24" s="232"/>
      <c r="K24" s="39"/>
      <c r="L24" s="80"/>
    </row>
    <row r="25" spans="1:17" ht="13.15" customHeight="1" x14ac:dyDescent="0.2">
      <c r="A25" s="35"/>
      <c r="B25" s="36"/>
      <c r="C25" s="86"/>
      <c r="I25" s="231"/>
      <c r="J25" s="232"/>
      <c r="K25" s="39"/>
      <c r="L25" s="80"/>
    </row>
    <row r="26" spans="1:17" ht="13.15" customHeight="1" x14ac:dyDescent="0.2">
      <c r="A26" s="35"/>
      <c r="B26" s="36"/>
      <c r="C26" s="86"/>
      <c r="I26" s="231"/>
      <c r="J26" s="232"/>
      <c r="K26" s="39"/>
      <c r="L26" s="80"/>
    </row>
    <row r="27" spans="1:17" ht="13.15" customHeight="1" x14ac:dyDescent="0.2">
      <c r="A27" s="35"/>
      <c r="B27" s="36"/>
      <c r="I27" s="231"/>
      <c r="J27" s="232"/>
      <c r="K27" s="39"/>
      <c r="L27" s="80"/>
    </row>
    <row r="28" spans="1:17" ht="13.15" customHeight="1" x14ac:dyDescent="0.2">
      <c r="A28" s="35"/>
      <c r="B28" s="36"/>
      <c r="I28" s="231"/>
      <c r="J28" s="232"/>
      <c r="K28" s="39"/>
      <c r="L28" s="80"/>
    </row>
    <row r="29" spans="1:17" x14ac:dyDescent="0.2">
      <c r="A29" s="35"/>
      <c r="B29" s="36"/>
      <c r="I29" s="228" t="s">
        <v>50</v>
      </c>
      <c r="J29" s="229"/>
      <c r="K29" s="42">
        <v>2</v>
      </c>
      <c r="L29" s="82">
        <v>100</v>
      </c>
    </row>
    <row r="30" spans="1:17" x14ac:dyDescent="0.2">
      <c r="A30" s="35"/>
      <c r="B30" s="36"/>
    </row>
    <row r="31" spans="1:17" x14ac:dyDescent="0.2">
      <c r="A31" s="35"/>
      <c r="B31" s="36"/>
    </row>
    <row r="32" spans="1:17" x14ac:dyDescent="0.2">
      <c r="A32" s="35"/>
      <c r="B32" s="36"/>
    </row>
    <row r="33" spans="1:2" x14ac:dyDescent="0.2">
      <c r="A33" s="35"/>
      <c r="B33" s="36"/>
    </row>
    <row r="34" spans="1:2" x14ac:dyDescent="0.2">
      <c r="A34" s="35"/>
      <c r="B34" s="36"/>
    </row>
    <row r="35" spans="1:2" x14ac:dyDescent="0.2">
      <c r="A35" s="35"/>
      <c r="B35" s="36"/>
    </row>
    <row r="36" spans="1:2" x14ac:dyDescent="0.2">
      <c r="A36" s="35"/>
      <c r="B36" s="36"/>
    </row>
    <row r="37" spans="1:2" x14ac:dyDescent="0.2">
      <c r="A37" s="35"/>
      <c r="B37" s="36"/>
    </row>
    <row r="38" spans="1:2" x14ac:dyDescent="0.2">
      <c r="A38" s="35"/>
      <c r="B38" s="36"/>
    </row>
    <row r="39" spans="1:2" x14ac:dyDescent="0.2">
      <c r="A39" s="35"/>
      <c r="B39" s="36"/>
    </row>
    <row r="40" spans="1:2" x14ac:dyDescent="0.2">
      <c r="A40" s="35"/>
      <c r="B40" s="36"/>
    </row>
    <row r="41" spans="1:2" x14ac:dyDescent="0.2">
      <c r="A41" s="35"/>
      <c r="B41" s="36"/>
    </row>
    <row r="42" spans="1:2" x14ac:dyDescent="0.2">
      <c r="A42" s="35"/>
      <c r="B42" s="36"/>
    </row>
    <row r="43" spans="1:2" x14ac:dyDescent="0.2">
      <c r="A43" s="35"/>
      <c r="B43" s="36"/>
    </row>
    <row r="44" spans="1:2" x14ac:dyDescent="0.2">
      <c r="A44" s="35"/>
      <c r="B44" s="36"/>
    </row>
    <row r="45" spans="1:2" x14ac:dyDescent="0.2">
      <c r="A45" s="35"/>
      <c r="B45" s="36"/>
    </row>
    <row r="46" spans="1:2" x14ac:dyDescent="0.2">
      <c r="A46" s="35"/>
      <c r="B46" s="36"/>
    </row>
    <row r="47" spans="1:2" x14ac:dyDescent="0.2">
      <c r="A47" s="35"/>
      <c r="B47" s="36"/>
    </row>
    <row r="48" spans="1:2" x14ac:dyDescent="0.2">
      <c r="A48" s="35"/>
      <c r="B48" s="36"/>
    </row>
    <row r="49" spans="1:2" x14ac:dyDescent="0.2">
      <c r="A49" s="35"/>
      <c r="B49" s="36"/>
    </row>
    <row r="50" spans="1:2" x14ac:dyDescent="0.2">
      <c r="A50" s="35"/>
      <c r="B50" s="36"/>
    </row>
    <row r="51" spans="1:2" x14ac:dyDescent="0.2">
      <c r="A51" s="35"/>
      <c r="B51" s="36"/>
    </row>
    <row r="52" spans="1:2" x14ac:dyDescent="0.2">
      <c r="A52" s="35"/>
      <c r="B52" s="36"/>
    </row>
    <row r="53" spans="1:2" x14ac:dyDescent="0.2">
      <c r="A53" s="35"/>
      <c r="B53" s="36"/>
    </row>
    <row r="54" spans="1:2" x14ac:dyDescent="0.2">
      <c r="A54" s="35"/>
      <c r="B54" s="36"/>
    </row>
    <row r="55" spans="1:2" x14ac:dyDescent="0.2">
      <c r="A55" s="35"/>
      <c r="B55" s="36"/>
    </row>
    <row r="56" spans="1:2" x14ac:dyDescent="0.2">
      <c r="A56" s="35"/>
      <c r="B56" s="36"/>
    </row>
    <row r="57" spans="1:2" x14ac:dyDescent="0.2">
      <c r="A57" s="35"/>
      <c r="B57" s="36"/>
    </row>
    <row r="58" spans="1:2" x14ac:dyDescent="0.2">
      <c r="A58" s="35"/>
      <c r="B58" s="36"/>
    </row>
    <row r="59" spans="1:2" x14ac:dyDescent="0.2">
      <c r="A59" s="35"/>
      <c r="B59" s="36"/>
    </row>
    <row r="60" spans="1:2" x14ac:dyDescent="0.2">
      <c r="A60" s="35"/>
      <c r="B60" s="36"/>
    </row>
    <row r="61" spans="1:2" x14ac:dyDescent="0.2">
      <c r="A61" s="35"/>
      <c r="B61" s="36"/>
    </row>
    <row r="62" spans="1:2" x14ac:dyDescent="0.2">
      <c r="A62" s="35"/>
      <c r="B62" s="36"/>
    </row>
    <row r="63" spans="1:2" x14ac:dyDescent="0.2">
      <c r="A63" s="35"/>
      <c r="B63" s="36"/>
    </row>
    <row r="64" spans="1:2" x14ac:dyDescent="0.2">
      <c r="A64" s="35"/>
      <c r="B64" s="36"/>
    </row>
    <row r="65" spans="1:2" x14ac:dyDescent="0.2">
      <c r="A65" s="35"/>
      <c r="B65" s="36"/>
    </row>
    <row r="66" spans="1:2" x14ac:dyDescent="0.2">
      <c r="A66" s="35"/>
      <c r="B66" s="36"/>
    </row>
    <row r="67" spans="1:2" x14ac:dyDescent="0.2">
      <c r="A67" s="35"/>
      <c r="B67" s="36"/>
    </row>
    <row r="68" spans="1:2" x14ac:dyDescent="0.2">
      <c r="A68" s="35"/>
      <c r="B68" s="36"/>
    </row>
    <row r="69" spans="1:2" x14ac:dyDescent="0.2">
      <c r="A69" s="35"/>
      <c r="B69" s="36"/>
    </row>
    <row r="70" spans="1:2" x14ac:dyDescent="0.2">
      <c r="A70" s="35"/>
      <c r="B70" s="36"/>
    </row>
    <row r="71" spans="1:2" ht="16.5" customHeight="1" x14ac:dyDescent="0.2">
      <c r="A71" s="35"/>
      <c r="B71" s="36"/>
    </row>
    <row r="72" spans="1:2" ht="16.5" customHeight="1" x14ac:dyDescent="0.2">
      <c r="A72" s="35"/>
      <c r="B72" s="36"/>
    </row>
    <row r="73" spans="1:2" x14ac:dyDescent="0.2">
      <c r="A73" s="35"/>
      <c r="B73" s="36"/>
    </row>
    <row r="74" spans="1:2" x14ac:dyDescent="0.2">
      <c r="A74" s="35"/>
      <c r="B74" s="36"/>
    </row>
    <row r="75" spans="1:2" x14ac:dyDescent="0.2">
      <c r="A75" s="35"/>
      <c r="B75" s="36"/>
    </row>
    <row r="76" spans="1:2" x14ac:dyDescent="0.2">
      <c r="A76" s="35"/>
      <c r="B76" s="36"/>
    </row>
    <row r="77" spans="1:2" x14ac:dyDescent="0.2">
      <c r="A77" s="35"/>
      <c r="B77" s="36"/>
    </row>
    <row r="78" spans="1:2" x14ac:dyDescent="0.2">
      <c r="A78" s="35"/>
      <c r="B78" s="36"/>
    </row>
    <row r="79" spans="1:2" ht="16.5" customHeight="1" x14ac:dyDescent="0.2">
      <c r="A79" s="35"/>
      <c r="B79" s="36"/>
    </row>
    <row r="80" spans="1:2" x14ac:dyDescent="0.2">
      <c r="A80" s="35"/>
      <c r="B80" s="36"/>
    </row>
    <row r="81" spans="1:2" x14ac:dyDescent="0.2">
      <c r="A81" s="35"/>
      <c r="B81" s="36"/>
    </row>
    <row r="82" spans="1:2" x14ac:dyDescent="0.2">
      <c r="A82" s="35"/>
      <c r="B82" s="36"/>
    </row>
    <row r="83" spans="1:2" x14ac:dyDescent="0.2">
      <c r="A83" s="35"/>
      <c r="B83" s="36"/>
    </row>
    <row r="84" spans="1:2" x14ac:dyDescent="0.2">
      <c r="A84" s="35"/>
      <c r="B84" s="36"/>
    </row>
    <row r="85" spans="1:2" x14ac:dyDescent="0.2">
      <c r="A85" s="35"/>
      <c r="B85" s="36"/>
    </row>
    <row r="86" spans="1:2" x14ac:dyDescent="0.2">
      <c r="A86" s="35"/>
      <c r="B86" s="36"/>
    </row>
    <row r="87" spans="1:2" x14ac:dyDescent="0.2">
      <c r="A87" s="35"/>
      <c r="B87" s="36"/>
    </row>
    <row r="88" spans="1:2" x14ac:dyDescent="0.2">
      <c r="A88" s="35"/>
      <c r="B88" s="36"/>
    </row>
    <row r="89" spans="1:2" x14ac:dyDescent="0.2">
      <c r="A89" s="35"/>
      <c r="B89" s="36"/>
    </row>
    <row r="90" spans="1:2" x14ac:dyDescent="0.2">
      <c r="A90" s="35"/>
      <c r="B90" s="36"/>
    </row>
    <row r="91" spans="1:2" x14ac:dyDescent="0.2">
      <c r="A91" s="35"/>
      <c r="B91" s="36"/>
    </row>
    <row r="92" spans="1:2" x14ac:dyDescent="0.2">
      <c r="A92" s="35"/>
      <c r="B92" s="36"/>
    </row>
    <row r="93" spans="1:2" x14ac:dyDescent="0.2">
      <c r="A93" s="35"/>
      <c r="B93" s="36"/>
    </row>
    <row r="94" spans="1:2" x14ac:dyDescent="0.2">
      <c r="A94" s="35"/>
      <c r="B94" s="36"/>
    </row>
    <row r="95" spans="1:2" x14ac:dyDescent="0.2">
      <c r="A95" s="35"/>
      <c r="B95" s="36"/>
    </row>
    <row r="96" spans="1:2" x14ac:dyDescent="0.2">
      <c r="A96" s="35"/>
      <c r="B96" s="36"/>
    </row>
    <row r="97" spans="1:2" x14ac:dyDescent="0.2">
      <c r="A97" s="35"/>
      <c r="B97" s="36"/>
    </row>
    <row r="98" spans="1:2" x14ac:dyDescent="0.2">
      <c r="A98" s="35"/>
      <c r="B98" s="36"/>
    </row>
    <row r="99" spans="1:2" x14ac:dyDescent="0.2">
      <c r="A99" s="35"/>
      <c r="B99" s="36"/>
    </row>
    <row r="100" spans="1:2" x14ac:dyDescent="0.2">
      <c r="A100" s="35"/>
      <c r="B100" s="36"/>
    </row>
  </sheetData>
  <dataConsolidate/>
  <mergeCells count="34">
    <mergeCell ref="I29:J29"/>
    <mergeCell ref="I21:J21"/>
    <mergeCell ref="I22:J22"/>
    <mergeCell ref="N22:O22"/>
    <mergeCell ref="I23:J23"/>
    <mergeCell ref="N23:O23"/>
    <mergeCell ref="I24:J24"/>
    <mergeCell ref="I25:J25"/>
    <mergeCell ref="I26:J26"/>
    <mergeCell ref="I27:J27"/>
    <mergeCell ref="I28:J28"/>
    <mergeCell ref="N21:O21"/>
    <mergeCell ref="I18:J18"/>
    <mergeCell ref="N18:O18"/>
    <mergeCell ref="I19:J19"/>
    <mergeCell ref="N19:O19"/>
    <mergeCell ref="I20:J20"/>
    <mergeCell ref="N20:O20"/>
    <mergeCell ref="I15:J15"/>
    <mergeCell ref="N15:O15"/>
    <mergeCell ref="I16:J16"/>
    <mergeCell ref="N16:O16"/>
    <mergeCell ref="I17:J17"/>
    <mergeCell ref="N17:O17"/>
    <mergeCell ref="D13:G13"/>
    <mergeCell ref="I13:L13"/>
    <mergeCell ref="N13:Q13"/>
    <mergeCell ref="I14:J14"/>
    <mergeCell ref="N14:O14"/>
    <mergeCell ref="C7:E7"/>
    <mergeCell ref="H7:J7"/>
    <mergeCell ref="C8:E8"/>
    <mergeCell ref="H8:J8"/>
    <mergeCell ref="A11:B11"/>
  </mergeCells>
  <dataValidations count="3">
    <dataValidation type="list" allowBlank="1" showInputMessage="1" showErrorMessage="1" sqref="E9 J9" xr:uid="{00000000-0002-0000-0200-000000000000}">
      <formula1>AÑO</formula1>
    </dataValidation>
    <dataValidation type="list" allowBlank="1" showInputMessage="1" showErrorMessage="1" sqref="I9 D9" xr:uid="{00000000-0002-0000-0200-000001000000}">
      <formula1>MES</formula1>
    </dataValidation>
    <dataValidation type="list" allowBlank="1" showInputMessage="1" showErrorMessage="1" sqref="H9 C9" xr:uid="{00000000-0002-0000-0200-000002000000}">
      <formula1>DIA</formula1>
    </dataValidation>
  </dataValidations>
  <pageMargins left="0.75" right="0.75" top="1" bottom="1" header="0" footer="0"/>
  <pageSetup scale="63" orientation="landscape" horizont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Hoja3.ANALISIS_EPIDEMIOLOGICO">
                <anchor moveWithCells="1" sizeWithCells="1">
                  <from>
                    <xdr:col>2</xdr:col>
                    <xdr:colOff>742950</xdr:colOff>
                    <xdr:row>0</xdr:row>
                    <xdr:rowOff>47625</xdr:rowOff>
                  </from>
                  <to>
                    <xdr:col>4</xdr:col>
                    <xdr:colOff>200025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indexed="33"/>
  </sheetPr>
  <dimension ref="A1:J61"/>
  <sheetViews>
    <sheetView showGridLines="0" view="pageBreakPreview" topLeftCell="A36" zoomScale="85" zoomScaleNormal="100" zoomScaleSheetLayoutView="85" workbookViewId="0">
      <selection activeCell="K60" sqref="K60"/>
    </sheetView>
  </sheetViews>
  <sheetFormatPr baseColWidth="10" defaultRowHeight="12.75" x14ac:dyDescent="0.2"/>
  <cols>
    <col min="1" max="5" width="11.5703125" style="21"/>
    <col min="6" max="6" width="7.85546875" style="21" customWidth="1"/>
    <col min="7" max="7" width="17.5703125" style="21" customWidth="1"/>
    <col min="8" max="8" width="11.5703125" style="21"/>
    <col min="9" max="9" width="15.28515625" style="21" customWidth="1"/>
    <col min="10" max="261" width="11.5703125" style="21"/>
    <col min="262" max="262" width="7.85546875" style="21" customWidth="1"/>
    <col min="263" max="263" width="17.5703125" style="21" customWidth="1"/>
    <col min="264" max="517" width="11.5703125" style="21"/>
    <col min="518" max="518" width="7.85546875" style="21" customWidth="1"/>
    <col min="519" max="519" width="17.5703125" style="21" customWidth="1"/>
    <col min="520" max="773" width="11.5703125" style="21"/>
    <col min="774" max="774" width="7.85546875" style="21" customWidth="1"/>
    <col min="775" max="775" width="17.5703125" style="21" customWidth="1"/>
    <col min="776" max="1029" width="11.5703125" style="21"/>
    <col min="1030" max="1030" width="7.85546875" style="21" customWidth="1"/>
    <col min="1031" max="1031" width="17.5703125" style="21" customWidth="1"/>
    <col min="1032" max="1285" width="11.5703125" style="21"/>
    <col min="1286" max="1286" width="7.85546875" style="21" customWidth="1"/>
    <col min="1287" max="1287" width="17.5703125" style="21" customWidth="1"/>
    <col min="1288" max="1541" width="11.5703125" style="21"/>
    <col min="1542" max="1542" width="7.85546875" style="21" customWidth="1"/>
    <col min="1543" max="1543" width="17.5703125" style="21" customWidth="1"/>
    <col min="1544" max="1797" width="11.5703125" style="21"/>
    <col min="1798" max="1798" width="7.85546875" style="21" customWidth="1"/>
    <col min="1799" max="1799" width="17.5703125" style="21" customWidth="1"/>
    <col min="1800" max="2053" width="11.5703125" style="21"/>
    <col min="2054" max="2054" width="7.85546875" style="21" customWidth="1"/>
    <col min="2055" max="2055" width="17.5703125" style="21" customWidth="1"/>
    <col min="2056" max="2309" width="11.5703125" style="21"/>
    <col min="2310" max="2310" width="7.85546875" style="21" customWidth="1"/>
    <col min="2311" max="2311" width="17.5703125" style="21" customWidth="1"/>
    <col min="2312" max="2565" width="11.5703125" style="21"/>
    <col min="2566" max="2566" width="7.85546875" style="21" customWidth="1"/>
    <col min="2567" max="2567" width="17.5703125" style="21" customWidth="1"/>
    <col min="2568" max="2821" width="11.5703125" style="21"/>
    <col min="2822" max="2822" width="7.85546875" style="21" customWidth="1"/>
    <col min="2823" max="2823" width="17.5703125" style="21" customWidth="1"/>
    <col min="2824" max="3077" width="11.5703125" style="21"/>
    <col min="3078" max="3078" width="7.85546875" style="21" customWidth="1"/>
    <col min="3079" max="3079" width="17.5703125" style="21" customWidth="1"/>
    <col min="3080" max="3333" width="11.5703125" style="21"/>
    <col min="3334" max="3334" width="7.85546875" style="21" customWidth="1"/>
    <col min="3335" max="3335" width="17.5703125" style="21" customWidth="1"/>
    <col min="3336" max="3589" width="11.5703125" style="21"/>
    <col min="3590" max="3590" width="7.85546875" style="21" customWidth="1"/>
    <col min="3591" max="3591" width="17.5703125" style="21" customWidth="1"/>
    <col min="3592" max="3845" width="11.5703125" style="21"/>
    <col min="3846" max="3846" width="7.85546875" style="21" customWidth="1"/>
    <col min="3847" max="3847" width="17.5703125" style="21" customWidth="1"/>
    <col min="3848" max="4101" width="11.5703125" style="21"/>
    <col min="4102" max="4102" width="7.85546875" style="21" customWidth="1"/>
    <col min="4103" max="4103" width="17.5703125" style="21" customWidth="1"/>
    <col min="4104" max="4357" width="11.5703125" style="21"/>
    <col min="4358" max="4358" width="7.85546875" style="21" customWidth="1"/>
    <col min="4359" max="4359" width="17.5703125" style="21" customWidth="1"/>
    <col min="4360" max="4613" width="11.5703125" style="21"/>
    <col min="4614" max="4614" width="7.85546875" style="21" customWidth="1"/>
    <col min="4615" max="4615" width="17.5703125" style="21" customWidth="1"/>
    <col min="4616" max="4869" width="11.5703125" style="21"/>
    <col min="4870" max="4870" width="7.85546875" style="21" customWidth="1"/>
    <col min="4871" max="4871" width="17.5703125" style="21" customWidth="1"/>
    <col min="4872" max="5125" width="11.5703125" style="21"/>
    <col min="5126" max="5126" width="7.85546875" style="21" customWidth="1"/>
    <col min="5127" max="5127" width="17.5703125" style="21" customWidth="1"/>
    <col min="5128" max="5381" width="11.5703125" style="21"/>
    <col min="5382" max="5382" width="7.85546875" style="21" customWidth="1"/>
    <col min="5383" max="5383" width="17.5703125" style="21" customWidth="1"/>
    <col min="5384" max="5637" width="11.5703125" style="21"/>
    <col min="5638" max="5638" width="7.85546875" style="21" customWidth="1"/>
    <col min="5639" max="5639" width="17.5703125" style="21" customWidth="1"/>
    <col min="5640" max="5893" width="11.5703125" style="21"/>
    <col min="5894" max="5894" width="7.85546875" style="21" customWidth="1"/>
    <col min="5895" max="5895" width="17.5703125" style="21" customWidth="1"/>
    <col min="5896" max="6149" width="11.5703125" style="21"/>
    <col min="6150" max="6150" width="7.85546875" style="21" customWidth="1"/>
    <col min="6151" max="6151" width="17.5703125" style="21" customWidth="1"/>
    <col min="6152" max="6405" width="11.5703125" style="21"/>
    <col min="6406" max="6406" width="7.85546875" style="21" customWidth="1"/>
    <col min="6407" max="6407" width="17.5703125" style="21" customWidth="1"/>
    <col min="6408" max="6661" width="11.5703125" style="21"/>
    <col min="6662" max="6662" width="7.85546875" style="21" customWidth="1"/>
    <col min="6663" max="6663" width="17.5703125" style="21" customWidth="1"/>
    <col min="6664" max="6917" width="11.5703125" style="21"/>
    <col min="6918" max="6918" width="7.85546875" style="21" customWidth="1"/>
    <col min="6919" max="6919" width="17.5703125" style="21" customWidth="1"/>
    <col min="6920" max="7173" width="11.5703125" style="21"/>
    <col min="7174" max="7174" width="7.85546875" style="21" customWidth="1"/>
    <col min="7175" max="7175" width="17.5703125" style="21" customWidth="1"/>
    <col min="7176" max="7429" width="11.5703125" style="21"/>
    <col min="7430" max="7430" width="7.85546875" style="21" customWidth="1"/>
    <col min="7431" max="7431" width="17.5703125" style="21" customWidth="1"/>
    <col min="7432" max="7685" width="11.5703125" style="21"/>
    <col min="7686" max="7686" width="7.85546875" style="21" customWidth="1"/>
    <col min="7687" max="7687" width="17.5703125" style="21" customWidth="1"/>
    <col min="7688" max="7941" width="11.5703125" style="21"/>
    <col min="7942" max="7942" width="7.85546875" style="21" customWidth="1"/>
    <col min="7943" max="7943" width="17.5703125" style="21" customWidth="1"/>
    <col min="7944" max="8197" width="11.5703125" style="21"/>
    <col min="8198" max="8198" width="7.85546875" style="21" customWidth="1"/>
    <col min="8199" max="8199" width="17.5703125" style="21" customWidth="1"/>
    <col min="8200" max="8453" width="11.5703125" style="21"/>
    <col min="8454" max="8454" width="7.85546875" style="21" customWidth="1"/>
    <col min="8455" max="8455" width="17.5703125" style="21" customWidth="1"/>
    <col min="8456" max="8709" width="11.5703125" style="21"/>
    <col min="8710" max="8710" width="7.85546875" style="21" customWidth="1"/>
    <col min="8711" max="8711" width="17.5703125" style="21" customWidth="1"/>
    <col min="8712" max="8965" width="11.5703125" style="21"/>
    <col min="8966" max="8966" width="7.85546875" style="21" customWidth="1"/>
    <col min="8967" max="8967" width="17.5703125" style="21" customWidth="1"/>
    <col min="8968" max="9221" width="11.5703125" style="21"/>
    <col min="9222" max="9222" width="7.85546875" style="21" customWidth="1"/>
    <col min="9223" max="9223" width="17.5703125" style="21" customWidth="1"/>
    <col min="9224" max="9477" width="11.5703125" style="21"/>
    <col min="9478" max="9478" width="7.85546875" style="21" customWidth="1"/>
    <col min="9479" max="9479" width="17.5703125" style="21" customWidth="1"/>
    <col min="9480" max="9733" width="11.5703125" style="21"/>
    <col min="9734" max="9734" width="7.85546875" style="21" customWidth="1"/>
    <col min="9735" max="9735" width="17.5703125" style="21" customWidth="1"/>
    <col min="9736" max="9989" width="11.5703125" style="21"/>
    <col min="9990" max="9990" width="7.85546875" style="21" customWidth="1"/>
    <col min="9991" max="9991" width="17.5703125" style="21" customWidth="1"/>
    <col min="9992" max="10245" width="11.5703125" style="21"/>
    <col min="10246" max="10246" width="7.85546875" style="21" customWidth="1"/>
    <col min="10247" max="10247" width="17.5703125" style="21" customWidth="1"/>
    <col min="10248" max="10501" width="11.5703125" style="21"/>
    <col min="10502" max="10502" width="7.85546875" style="21" customWidth="1"/>
    <col min="10503" max="10503" width="17.5703125" style="21" customWidth="1"/>
    <col min="10504" max="10757" width="11.5703125" style="21"/>
    <col min="10758" max="10758" width="7.85546875" style="21" customWidth="1"/>
    <col min="10759" max="10759" width="17.5703125" style="21" customWidth="1"/>
    <col min="10760" max="11013" width="11.5703125" style="21"/>
    <col min="11014" max="11014" width="7.85546875" style="21" customWidth="1"/>
    <col min="11015" max="11015" width="17.5703125" style="21" customWidth="1"/>
    <col min="11016" max="11269" width="11.5703125" style="21"/>
    <col min="11270" max="11270" width="7.85546875" style="21" customWidth="1"/>
    <col min="11271" max="11271" width="17.5703125" style="21" customWidth="1"/>
    <col min="11272" max="11525" width="11.5703125" style="21"/>
    <col min="11526" max="11526" width="7.85546875" style="21" customWidth="1"/>
    <col min="11527" max="11527" width="17.5703125" style="21" customWidth="1"/>
    <col min="11528" max="11781" width="11.5703125" style="21"/>
    <col min="11782" max="11782" width="7.85546875" style="21" customWidth="1"/>
    <col min="11783" max="11783" width="17.5703125" style="21" customWidth="1"/>
    <col min="11784" max="12037" width="11.5703125" style="21"/>
    <col min="12038" max="12038" width="7.85546875" style="21" customWidth="1"/>
    <col min="12039" max="12039" width="17.5703125" style="21" customWidth="1"/>
    <col min="12040" max="12293" width="11.5703125" style="21"/>
    <col min="12294" max="12294" width="7.85546875" style="21" customWidth="1"/>
    <col min="12295" max="12295" width="17.5703125" style="21" customWidth="1"/>
    <col min="12296" max="12549" width="11.5703125" style="21"/>
    <col min="12550" max="12550" width="7.85546875" style="21" customWidth="1"/>
    <col min="12551" max="12551" width="17.5703125" style="21" customWidth="1"/>
    <col min="12552" max="12805" width="11.5703125" style="21"/>
    <col min="12806" max="12806" width="7.85546875" style="21" customWidth="1"/>
    <col min="12807" max="12807" width="17.5703125" style="21" customWidth="1"/>
    <col min="12808" max="13061" width="11.5703125" style="21"/>
    <col min="13062" max="13062" width="7.85546875" style="21" customWidth="1"/>
    <col min="13063" max="13063" width="17.5703125" style="21" customWidth="1"/>
    <col min="13064" max="13317" width="11.5703125" style="21"/>
    <col min="13318" max="13318" width="7.85546875" style="21" customWidth="1"/>
    <col min="13319" max="13319" width="17.5703125" style="21" customWidth="1"/>
    <col min="13320" max="13573" width="11.5703125" style="21"/>
    <col min="13574" max="13574" width="7.85546875" style="21" customWidth="1"/>
    <col min="13575" max="13575" width="17.5703125" style="21" customWidth="1"/>
    <col min="13576" max="13829" width="11.5703125" style="21"/>
    <col min="13830" max="13830" width="7.85546875" style="21" customWidth="1"/>
    <col min="13831" max="13831" width="17.5703125" style="21" customWidth="1"/>
    <col min="13832" max="14085" width="11.5703125" style="21"/>
    <col min="14086" max="14086" width="7.85546875" style="21" customWidth="1"/>
    <col min="14087" max="14087" width="17.5703125" style="21" customWidth="1"/>
    <col min="14088" max="14341" width="11.5703125" style="21"/>
    <col min="14342" max="14342" width="7.85546875" style="21" customWidth="1"/>
    <col min="14343" max="14343" width="17.5703125" style="21" customWidth="1"/>
    <col min="14344" max="14597" width="11.5703125" style="21"/>
    <col min="14598" max="14598" width="7.85546875" style="21" customWidth="1"/>
    <col min="14599" max="14599" width="17.5703125" style="21" customWidth="1"/>
    <col min="14600" max="14853" width="11.5703125" style="21"/>
    <col min="14854" max="14854" width="7.85546875" style="21" customWidth="1"/>
    <col min="14855" max="14855" width="17.5703125" style="21" customWidth="1"/>
    <col min="14856" max="15109" width="11.5703125" style="21"/>
    <col min="15110" max="15110" width="7.85546875" style="21" customWidth="1"/>
    <col min="15111" max="15111" width="17.5703125" style="21" customWidth="1"/>
    <col min="15112" max="15365" width="11.5703125" style="21"/>
    <col min="15366" max="15366" width="7.85546875" style="21" customWidth="1"/>
    <col min="15367" max="15367" width="17.5703125" style="21" customWidth="1"/>
    <col min="15368" max="15621" width="11.5703125" style="21"/>
    <col min="15622" max="15622" width="7.85546875" style="21" customWidth="1"/>
    <col min="15623" max="15623" width="17.5703125" style="21" customWidth="1"/>
    <col min="15624" max="15877" width="11.5703125" style="21"/>
    <col min="15878" max="15878" width="7.85546875" style="21" customWidth="1"/>
    <col min="15879" max="15879" width="17.5703125" style="21" customWidth="1"/>
    <col min="15880" max="16133" width="11.5703125" style="21"/>
    <col min="16134" max="16134" width="7.85546875" style="21" customWidth="1"/>
    <col min="16135" max="16135" width="17.5703125" style="21" customWidth="1"/>
    <col min="16136" max="16384" width="11.5703125" style="21"/>
  </cols>
  <sheetData>
    <row r="1" spans="1:10" x14ac:dyDescent="0.2">
      <c r="A1" s="46"/>
      <c r="B1" s="46"/>
      <c r="C1" s="46"/>
      <c r="D1" s="46"/>
      <c r="E1" s="46"/>
      <c r="F1" s="46"/>
      <c r="G1" s="46"/>
      <c r="H1" s="46"/>
      <c r="I1" s="46"/>
    </row>
    <row r="3" spans="1:10" x14ac:dyDescent="0.2">
      <c r="A3" s="236" t="s">
        <v>61</v>
      </c>
      <c r="B3" s="236"/>
      <c r="C3" s="236"/>
      <c r="D3" s="236"/>
      <c r="E3" s="236"/>
      <c r="F3" s="236"/>
      <c r="G3" s="236"/>
      <c r="H3" s="236"/>
      <c r="I3" s="236"/>
    </row>
    <row r="4" spans="1:10" x14ac:dyDescent="0.2">
      <c r="A4" s="236" t="s">
        <v>62</v>
      </c>
      <c r="B4" s="236"/>
      <c r="C4" s="236"/>
      <c r="D4" s="236"/>
      <c r="E4" s="236"/>
      <c r="F4" s="236"/>
      <c r="G4" s="236"/>
      <c r="H4" s="236"/>
      <c r="I4" s="236"/>
    </row>
    <row r="5" spans="1:10" x14ac:dyDescent="0.2">
      <c r="A5" s="236" t="s">
        <v>63</v>
      </c>
      <c r="B5" s="236"/>
      <c r="C5" s="236"/>
      <c r="D5" s="236"/>
      <c r="E5" s="236"/>
      <c r="F5" s="236"/>
      <c r="G5" s="236"/>
      <c r="H5" s="236"/>
      <c r="I5" s="236"/>
    </row>
    <row r="6" spans="1:10" x14ac:dyDescent="0.2">
      <c r="A6" s="22"/>
    </row>
    <row r="7" spans="1:10" x14ac:dyDescent="0.2">
      <c r="A7" s="237" t="s">
        <v>96</v>
      </c>
      <c r="B7" s="237"/>
      <c r="C7" s="237"/>
      <c r="D7" s="237"/>
      <c r="E7" s="237"/>
      <c r="F7" s="237"/>
      <c r="G7" s="237"/>
      <c r="H7" s="237"/>
      <c r="I7" s="237"/>
    </row>
    <row r="9" spans="1:10" x14ac:dyDescent="0.2">
      <c r="A9" s="24" t="s">
        <v>64</v>
      </c>
      <c r="B9" s="31"/>
      <c r="C9" s="214" t="s">
        <v>336</v>
      </c>
      <c r="D9" s="215"/>
      <c r="E9" s="216"/>
      <c r="F9" s="26"/>
      <c r="G9" s="24" t="s">
        <v>65</v>
      </c>
      <c r="H9" s="214" t="s">
        <v>335</v>
      </c>
      <c r="I9" s="215"/>
      <c r="J9" s="216"/>
    </row>
    <row r="10" spans="1:10" x14ac:dyDescent="0.2">
      <c r="A10" s="24" t="s">
        <v>66</v>
      </c>
      <c r="B10" s="31"/>
      <c r="C10" s="214" t="s">
        <v>150</v>
      </c>
      <c r="D10" s="215"/>
      <c r="E10" s="216"/>
      <c r="F10" s="26"/>
      <c r="G10" s="24" t="s">
        <v>2</v>
      </c>
      <c r="H10" s="214" t="s">
        <v>352</v>
      </c>
      <c r="I10" s="215"/>
      <c r="J10" s="216"/>
    </row>
    <row r="11" spans="1:10" ht="13.9" customHeight="1" x14ac:dyDescent="0.2">
      <c r="A11" s="24" t="s">
        <v>67</v>
      </c>
      <c r="B11" s="31"/>
      <c r="C11" s="108">
        <v>30</v>
      </c>
      <c r="D11" s="108">
        <v>12</v>
      </c>
      <c r="E11" s="109">
        <v>2024</v>
      </c>
      <c r="F11" s="26"/>
      <c r="G11" s="24" t="s">
        <v>90</v>
      </c>
      <c r="H11" s="108"/>
      <c r="I11" s="108"/>
      <c r="J11" s="109"/>
    </row>
    <row r="12" spans="1:10" x14ac:dyDescent="0.2">
      <c r="C12" s="34" t="s">
        <v>171</v>
      </c>
      <c r="D12" s="34" t="s">
        <v>118</v>
      </c>
      <c r="E12" s="34" t="s">
        <v>119</v>
      </c>
      <c r="H12" s="34" t="s">
        <v>171</v>
      </c>
      <c r="I12" s="34" t="s">
        <v>118</v>
      </c>
      <c r="J12" s="34" t="s">
        <v>119</v>
      </c>
    </row>
    <row r="13" spans="1:10" ht="12.75" customHeight="1" x14ac:dyDescent="0.2">
      <c r="A13" s="234" t="s">
        <v>355</v>
      </c>
      <c r="B13" s="235"/>
      <c r="C13" s="235"/>
      <c r="D13" s="235"/>
      <c r="E13" s="235"/>
      <c r="F13" s="235"/>
      <c r="G13" s="235"/>
      <c r="H13" s="235"/>
      <c r="I13" s="235"/>
      <c r="J13" s="235"/>
    </row>
    <row r="14" spans="1:10" ht="12.75" customHeight="1" x14ac:dyDescent="0.2">
      <c r="A14" s="234"/>
      <c r="B14" s="235"/>
      <c r="C14" s="235"/>
      <c r="D14" s="235"/>
      <c r="E14" s="235"/>
      <c r="F14" s="235"/>
      <c r="G14" s="235"/>
      <c r="H14" s="235"/>
      <c r="I14" s="235"/>
      <c r="J14" s="235"/>
    </row>
    <row r="15" spans="1:10" ht="12.75" customHeight="1" x14ac:dyDescent="0.2">
      <c r="A15" s="234"/>
      <c r="B15" s="235"/>
      <c r="C15" s="235"/>
      <c r="D15" s="235"/>
      <c r="E15" s="235"/>
      <c r="F15" s="235"/>
      <c r="G15" s="235"/>
      <c r="H15" s="235"/>
      <c r="I15" s="235"/>
      <c r="J15" s="235"/>
    </row>
    <row r="16" spans="1:10" ht="12.75" customHeight="1" x14ac:dyDescent="0.2">
      <c r="A16" s="234"/>
      <c r="B16" s="235"/>
      <c r="C16" s="235"/>
      <c r="D16" s="235"/>
      <c r="E16" s="235"/>
      <c r="F16" s="235"/>
      <c r="G16" s="235"/>
      <c r="H16" s="235"/>
      <c r="I16" s="235"/>
      <c r="J16" s="235"/>
    </row>
    <row r="17" spans="1:10" ht="12.75" customHeight="1" x14ac:dyDescent="0.2">
      <c r="A17" s="234"/>
      <c r="B17" s="235"/>
      <c r="C17" s="235"/>
      <c r="D17" s="235"/>
      <c r="E17" s="235"/>
      <c r="F17" s="235"/>
      <c r="G17" s="235"/>
      <c r="H17" s="235"/>
      <c r="I17" s="235"/>
      <c r="J17" s="235"/>
    </row>
    <row r="18" spans="1:10" ht="12.75" customHeight="1" x14ac:dyDescent="0.2">
      <c r="A18" s="234"/>
      <c r="B18" s="235"/>
      <c r="C18" s="235"/>
      <c r="D18" s="235"/>
      <c r="E18" s="235"/>
      <c r="F18" s="235"/>
      <c r="G18" s="235"/>
      <c r="H18" s="235"/>
      <c r="I18" s="235"/>
      <c r="J18" s="235"/>
    </row>
    <row r="19" spans="1:10" ht="12.75" customHeight="1" x14ac:dyDescent="0.2">
      <c r="A19" s="234"/>
      <c r="B19" s="235"/>
      <c r="C19" s="235"/>
      <c r="D19" s="235"/>
      <c r="E19" s="235"/>
      <c r="F19" s="235"/>
      <c r="G19" s="235"/>
      <c r="H19" s="235"/>
      <c r="I19" s="235"/>
      <c r="J19" s="235"/>
    </row>
    <row r="20" spans="1:10" ht="12.75" customHeight="1" x14ac:dyDescent="0.2">
      <c r="A20" s="234"/>
      <c r="B20" s="235"/>
      <c r="C20" s="235"/>
      <c r="D20" s="235"/>
      <c r="E20" s="235"/>
      <c r="F20" s="235"/>
      <c r="G20" s="235"/>
      <c r="H20" s="235"/>
      <c r="I20" s="235"/>
      <c r="J20" s="235"/>
    </row>
    <row r="21" spans="1:10" ht="12.75" customHeight="1" x14ac:dyDescent="0.2">
      <c r="A21" s="234"/>
      <c r="B21" s="235"/>
      <c r="C21" s="235"/>
      <c r="D21" s="235"/>
      <c r="E21" s="235"/>
      <c r="F21" s="235"/>
      <c r="G21" s="235"/>
      <c r="H21" s="235"/>
      <c r="I21" s="235"/>
      <c r="J21" s="235"/>
    </row>
    <row r="22" spans="1:10" ht="12.75" customHeight="1" x14ac:dyDescent="0.2">
      <c r="A22" s="234"/>
      <c r="B22" s="235"/>
      <c r="C22" s="235"/>
      <c r="D22" s="235"/>
      <c r="E22" s="235"/>
      <c r="F22" s="235"/>
      <c r="G22" s="235"/>
      <c r="H22" s="235"/>
      <c r="I22" s="235"/>
      <c r="J22" s="235"/>
    </row>
    <row r="23" spans="1:10" ht="12.75" customHeight="1" x14ac:dyDescent="0.2">
      <c r="A23" s="234"/>
      <c r="B23" s="235"/>
      <c r="C23" s="235"/>
      <c r="D23" s="235"/>
      <c r="E23" s="235"/>
      <c r="F23" s="235"/>
      <c r="G23" s="235"/>
      <c r="H23" s="235"/>
      <c r="I23" s="235"/>
      <c r="J23" s="235"/>
    </row>
    <row r="24" spans="1:10" ht="12.75" customHeight="1" x14ac:dyDescent="0.2">
      <c r="A24" s="234"/>
      <c r="B24" s="235"/>
      <c r="C24" s="235"/>
      <c r="D24" s="235"/>
      <c r="E24" s="235"/>
      <c r="F24" s="235"/>
      <c r="G24" s="235"/>
      <c r="H24" s="235"/>
      <c r="I24" s="235"/>
      <c r="J24" s="235"/>
    </row>
    <row r="25" spans="1:10" ht="12.75" customHeight="1" x14ac:dyDescent="0.2">
      <c r="A25" s="234"/>
      <c r="B25" s="235"/>
      <c r="C25" s="235"/>
      <c r="D25" s="235"/>
      <c r="E25" s="235"/>
      <c r="F25" s="235"/>
      <c r="G25" s="235"/>
      <c r="H25" s="235"/>
      <c r="I25" s="235"/>
      <c r="J25" s="235"/>
    </row>
    <row r="26" spans="1:10" ht="12.75" customHeight="1" x14ac:dyDescent="0.2">
      <c r="A26" s="234"/>
      <c r="B26" s="235"/>
      <c r="C26" s="235"/>
      <c r="D26" s="235"/>
      <c r="E26" s="235"/>
      <c r="F26" s="235"/>
      <c r="G26" s="235"/>
      <c r="H26" s="235"/>
      <c r="I26" s="235"/>
      <c r="J26" s="235"/>
    </row>
    <row r="27" spans="1:10" ht="12.75" customHeight="1" x14ac:dyDescent="0.2">
      <c r="A27" s="234"/>
      <c r="B27" s="235"/>
      <c r="C27" s="235"/>
      <c r="D27" s="235"/>
      <c r="E27" s="235"/>
      <c r="F27" s="235"/>
      <c r="G27" s="235"/>
      <c r="H27" s="235"/>
      <c r="I27" s="235"/>
      <c r="J27" s="235"/>
    </row>
    <row r="28" spans="1:10" ht="12.75" customHeight="1" x14ac:dyDescent="0.2">
      <c r="A28" s="234"/>
      <c r="B28" s="235"/>
      <c r="C28" s="235"/>
      <c r="D28" s="235"/>
      <c r="E28" s="235"/>
      <c r="F28" s="235"/>
      <c r="G28" s="235"/>
      <c r="H28" s="235"/>
      <c r="I28" s="235"/>
      <c r="J28" s="235"/>
    </row>
    <row r="29" spans="1:10" ht="12.75" customHeight="1" x14ac:dyDescent="0.2">
      <c r="A29" s="234"/>
      <c r="B29" s="235"/>
      <c r="C29" s="235"/>
      <c r="D29" s="235"/>
      <c r="E29" s="235"/>
      <c r="F29" s="235"/>
      <c r="G29" s="235"/>
      <c r="H29" s="235"/>
      <c r="I29" s="235"/>
      <c r="J29" s="235"/>
    </row>
    <row r="30" spans="1:10" ht="12.75" customHeight="1" x14ac:dyDescent="0.2">
      <c r="A30" s="234"/>
      <c r="B30" s="235"/>
      <c r="C30" s="235"/>
      <c r="D30" s="235"/>
      <c r="E30" s="235"/>
      <c r="F30" s="235"/>
      <c r="G30" s="235"/>
      <c r="H30" s="235"/>
      <c r="I30" s="235"/>
      <c r="J30" s="235"/>
    </row>
    <row r="31" spans="1:10" ht="12.75" customHeight="1" x14ac:dyDescent="0.2">
      <c r="A31" s="234"/>
      <c r="B31" s="235"/>
      <c r="C31" s="235"/>
      <c r="D31" s="235"/>
      <c r="E31" s="235"/>
      <c r="F31" s="235"/>
      <c r="G31" s="235"/>
      <c r="H31" s="235"/>
      <c r="I31" s="235"/>
      <c r="J31" s="235"/>
    </row>
    <row r="32" spans="1:10" ht="12.75" customHeight="1" x14ac:dyDescent="0.2">
      <c r="A32" s="234"/>
      <c r="B32" s="235"/>
      <c r="C32" s="235"/>
      <c r="D32" s="235"/>
      <c r="E32" s="235"/>
      <c r="F32" s="235"/>
      <c r="G32" s="235"/>
      <c r="H32" s="235"/>
      <c r="I32" s="235"/>
      <c r="J32" s="235"/>
    </row>
    <row r="33" spans="1:10" ht="12.75" customHeight="1" x14ac:dyDescent="0.2">
      <c r="A33" s="234"/>
      <c r="B33" s="235"/>
      <c r="C33" s="235"/>
      <c r="D33" s="235"/>
      <c r="E33" s="235"/>
      <c r="F33" s="235"/>
      <c r="G33" s="235"/>
      <c r="H33" s="235"/>
      <c r="I33" s="235"/>
      <c r="J33" s="235"/>
    </row>
    <row r="34" spans="1:10" ht="12.75" customHeight="1" x14ac:dyDescent="0.2">
      <c r="A34" s="234"/>
      <c r="B34" s="235"/>
      <c r="C34" s="235"/>
      <c r="D34" s="235"/>
      <c r="E34" s="235"/>
      <c r="F34" s="235"/>
      <c r="G34" s="235"/>
      <c r="H34" s="235"/>
      <c r="I34" s="235"/>
      <c r="J34" s="235"/>
    </row>
    <row r="35" spans="1:10" ht="12.75" customHeight="1" x14ac:dyDescent="0.2">
      <c r="A35" s="234"/>
      <c r="B35" s="235"/>
      <c r="C35" s="235"/>
      <c r="D35" s="235"/>
      <c r="E35" s="235"/>
      <c r="F35" s="235"/>
      <c r="G35" s="235"/>
      <c r="H35" s="235"/>
      <c r="I35" s="235"/>
      <c r="J35" s="235"/>
    </row>
    <row r="36" spans="1:10" ht="12.75" customHeight="1" x14ac:dyDescent="0.2">
      <c r="A36" s="234"/>
      <c r="B36" s="235"/>
      <c r="C36" s="235"/>
      <c r="D36" s="235"/>
      <c r="E36" s="235"/>
      <c r="F36" s="235"/>
      <c r="G36" s="235"/>
      <c r="H36" s="235"/>
      <c r="I36" s="235"/>
      <c r="J36" s="235"/>
    </row>
    <row r="37" spans="1:10" ht="12.75" customHeight="1" x14ac:dyDescent="0.2">
      <c r="A37" s="234"/>
      <c r="B37" s="235"/>
      <c r="C37" s="235"/>
      <c r="D37" s="235"/>
      <c r="E37" s="235"/>
      <c r="F37" s="235"/>
      <c r="G37" s="235"/>
      <c r="H37" s="235"/>
      <c r="I37" s="235"/>
      <c r="J37" s="235"/>
    </row>
    <row r="38" spans="1:10" ht="12.75" customHeight="1" x14ac:dyDescent="0.2">
      <c r="A38" s="234"/>
      <c r="B38" s="235"/>
      <c r="C38" s="235"/>
      <c r="D38" s="235"/>
      <c r="E38" s="235"/>
      <c r="F38" s="235"/>
      <c r="G38" s="235"/>
      <c r="H38" s="235"/>
      <c r="I38" s="235"/>
      <c r="J38" s="235"/>
    </row>
    <row r="39" spans="1:10" ht="12.75" customHeight="1" x14ac:dyDescent="0.2">
      <c r="A39" s="234"/>
      <c r="B39" s="235"/>
      <c r="C39" s="235"/>
      <c r="D39" s="235"/>
      <c r="E39" s="235"/>
      <c r="F39" s="235"/>
      <c r="G39" s="235"/>
      <c r="H39" s="235"/>
      <c r="I39" s="235"/>
      <c r="J39" s="235"/>
    </row>
    <row r="40" spans="1:10" ht="12.75" customHeight="1" x14ac:dyDescent="0.2">
      <c r="A40" s="234"/>
      <c r="B40" s="235"/>
      <c r="C40" s="235"/>
      <c r="D40" s="235"/>
      <c r="E40" s="235"/>
      <c r="F40" s="235"/>
      <c r="G40" s="235"/>
      <c r="H40" s="235"/>
      <c r="I40" s="235"/>
      <c r="J40" s="235"/>
    </row>
    <row r="41" spans="1:10" ht="12.75" customHeight="1" x14ac:dyDescent="0.2">
      <c r="A41" s="234"/>
      <c r="B41" s="235"/>
      <c r="C41" s="235"/>
      <c r="D41" s="235"/>
      <c r="E41" s="235"/>
      <c r="F41" s="235"/>
      <c r="G41" s="235"/>
      <c r="H41" s="235"/>
      <c r="I41" s="235"/>
      <c r="J41" s="235"/>
    </row>
    <row r="42" spans="1:10" ht="12.75" customHeight="1" x14ac:dyDescent="0.2">
      <c r="A42" s="234"/>
      <c r="B42" s="235"/>
      <c r="C42" s="235"/>
      <c r="D42" s="235"/>
      <c r="E42" s="235"/>
      <c r="F42" s="235"/>
      <c r="G42" s="235"/>
      <c r="H42" s="235"/>
      <c r="I42" s="235"/>
      <c r="J42" s="235"/>
    </row>
    <row r="43" spans="1:10" ht="12.75" customHeight="1" x14ac:dyDescent="0.2">
      <c r="A43" s="234"/>
      <c r="B43" s="235"/>
      <c r="C43" s="235"/>
      <c r="D43" s="235"/>
      <c r="E43" s="235"/>
      <c r="F43" s="235"/>
      <c r="G43" s="235"/>
      <c r="H43" s="235"/>
      <c r="I43" s="235"/>
      <c r="J43" s="235"/>
    </row>
    <row r="44" spans="1:10" ht="12.75" customHeight="1" x14ac:dyDescent="0.2">
      <c r="A44" s="234"/>
      <c r="B44" s="235"/>
      <c r="C44" s="235"/>
      <c r="D44" s="235"/>
      <c r="E44" s="235"/>
      <c r="F44" s="235"/>
      <c r="G44" s="235"/>
      <c r="H44" s="235"/>
      <c r="I44" s="235"/>
      <c r="J44" s="235"/>
    </row>
    <row r="45" spans="1:10" ht="12.75" customHeight="1" x14ac:dyDescent="0.2">
      <c r="A45" s="234"/>
      <c r="B45" s="235"/>
      <c r="C45" s="235"/>
      <c r="D45" s="235"/>
      <c r="E45" s="235"/>
      <c r="F45" s="235"/>
      <c r="G45" s="235"/>
      <c r="H45" s="235"/>
      <c r="I45" s="235"/>
      <c r="J45" s="235"/>
    </row>
    <row r="46" spans="1:10" ht="12.75" customHeight="1" x14ac:dyDescent="0.2">
      <c r="A46" s="234"/>
      <c r="B46" s="235"/>
      <c r="C46" s="235"/>
      <c r="D46" s="235"/>
      <c r="E46" s="235"/>
      <c r="F46" s="235"/>
      <c r="G46" s="235"/>
      <c r="H46" s="235"/>
      <c r="I46" s="235"/>
      <c r="J46" s="235"/>
    </row>
    <row r="47" spans="1:10" ht="12.75" customHeight="1" x14ac:dyDescent="0.2">
      <c r="A47" s="234"/>
      <c r="B47" s="235"/>
      <c r="C47" s="235"/>
      <c r="D47" s="235"/>
      <c r="E47" s="235"/>
      <c r="F47" s="235"/>
      <c r="G47" s="235"/>
      <c r="H47" s="235"/>
      <c r="I47" s="235"/>
      <c r="J47" s="235"/>
    </row>
    <row r="48" spans="1:10" ht="12.75" customHeight="1" x14ac:dyDescent="0.2">
      <c r="A48" s="234"/>
      <c r="B48" s="235"/>
      <c r="C48" s="235"/>
      <c r="D48" s="235"/>
      <c r="E48" s="235"/>
      <c r="F48" s="235"/>
      <c r="G48" s="235"/>
      <c r="H48" s="235"/>
      <c r="I48" s="235"/>
      <c r="J48" s="235"/>
    </row>
    <row r="49" spans="1:10" ht="12.75" customHeight="1" x14ac:dyDescent="0.2">
      <c r="A49" s="234"/>
      <c r="B49" s="235"/>
      <c r="C49" s="235"/>
      <c r="D49" s="235"/>
      <c r="E49" s="235"/>
      <c r="F49" s="235"/>
      <c r="G49" s="235"/>
      <c r="H49" s="235"/>
      <c r="I49" s="235"/>
      <c r="J49" s="235"/>
    </row>
    <row r="50" spans="1:10" ht="12.75" customHeight="1" x14ac:dyDescent="0.2">
      <c r="A50" s="234"/>
      <c r="B50" s="235"/>
      <c r="C50" s="235"/>
      <c r="D50" s="235"/>
      <c r="E50" s="235"/>
      <c r="F50" s="235"/>
      <c r="G50" s="235"/>
      <c r="H50" s="235"/>
      <c r="I50" s="235"/>
      <c r="J50" s="235"/>
    </row>
    <row r="51" spans="1:10" ht="12.75" customHeight="1" x14ac:dyDescent="0.2">
      <c r="A51" s="234"/>
      <c r="B51" s="235"/>
      <c r="C51" s="235"/>
      <c r="D51" s="235"/>
      <c r="E51" s="235"/>
      <c r="F51" s="235"/>
      <c r="G51" s="235"/>
      <c r="H51" s="235"/>
      <c r="I51" s="235"/>
      <c r="J51" s="235"/>
    </row>
    <row r="52" spans="1:10" ht="12.75" customHeight="1" x14ac:dyDescent="0.2">
      <c r="A52" s="234"/>
      <c r="B52" s="235"/>
      <c r="C52" s="235"/>
      <c r="D52" s="235"/>
      <c r="E52" s="235"/>
      <c r="F52" s="235"/>
      <c r="G52" s="235"/>
      <c r="H52" s="235"/>
      <c r="I52" s="235"/>
      <c r="J52" s="235"/>
    </row>
    <row r="53" spans="1:10" ht="12.75" customHeight="1" x14ac:dyDescent="0.2">
      <c r="A53" s="234"/>
      <c r="B53" s="235"/>
      <c r="C53" s="235"/>
      <c r="D53" s="235"/>
      <c r="E53" s="235"/>
      <c r="F53" s="235"/>
      <c r="G53" s="235"/>
      <c r="H53" s="235"/>
      <c r="I53" s="235"/>
      <c r="J53" s="235"/>
    </row>
    <row r="54" spans="1:10" x14ac:dyDescent="0.2">
      <c r="A54" s="47" t="s">
        <v>333</v>
      </c>
      <c r="B54" s="48"/>
      <c r="C54" s="101">
        <v>2</v>
      </c>
      <c r="D54" s="101">
        <v>1</v>
      </c>
      <c r="E54" s="100">
        <v>2025</v>
      </c>
    </row>
    <row r="55" spans="1:10" x14ac:dyDescent="0.2">
      <c r="A55" s="21" t="s">
        <v>70</v>
      </c>
      <c r="C55" s="34" t="s">
        <v>171</v>
      </c>
      <c r="D55" s="34" t="s">
        <v>118</v>
      </c>
      <c r="E55" s="34" t="s">
        <v>119</v>
      </c>
    </row>
    <row r="59" spans="1:10" x14ac:dyDescent="0.2">
      <c r="A59" s="238" t="s">
        <v>98</v>
      </c>
      <c r="B59" s="238"/>
      <c r="C59" s="238"/>
      <c r="D59" s="238"/>
      <c r="E59" s="49"/>
      <c r="F59" s="238" t="s">
        <v>99</v>
      </c>
      <c r="G59" s="238"/>
      <c r="H59" s="238"/>
      <c r="I59" s="46"/>
    </row>
    <row r="60" spans="1:10" x14ac:dyDescent="0.2">
      <c r="A60" s="239" t="s">
        <v>338</v>
      </c>
      <c r="B60" s="240"/>
      <c r="C60" s="240"/>
      <c r="D60" s="241"/>
      <c r="E60" s="49"/>
      <c r="F60" s="239" t="s">
        <v>364</v>
      </c>
      <c r="G60" s="240"/>
      <c r="H60" s="241"/>
      <c r="I60" s="46"/>
    </row>
    <row r="61" spans="1:10" x14ac:dyDescent="0.2">
      <c r="A61" s="238" t="s">
        <v>100</v>
      </c>
      <c r="B61" s="238"/>
      <c r="C61" s="238"/>
      <c r="D61" s="238"/>
      <c r="E61" s="49"/>
      <c r="F61" s="238" t="s">
        <v>100</v>
      </c>
      <c r="G61" s="238"/>
      <c r="H61" s="238"/>
      <c r="I61" s="46"/>
    </row>
  </sheetData>
  <mergeCells count="15">
    <mergeCell ref="A59:D59"/>
    <mergeCell ref="F59:H59"/>
    <mergeCell ref="A60:D60"/>
    <mergeCell ref="F60:H60"/>
    <mergeCell ref="A61:D61"/>
    <mergeCell ref="F61:H61"/>
    <mergeCell ref="C10:E10"/>
    <mergeCell ref="H10:J10"/>
    <mergeCell ref="H9:J9"/>
    <mergeCell ref="A13:J53"/>
    <mergeCell ref="A3:I3"/>
    <mergeCell ref="A4:I4"/>
    <mergeCell ref="A5:I5"/>
    <mergeCell ref="A7:I7"/>
    <mergeCell ref="C9:E9"/>
  </mergeCells>
  <dataValidations count="3">
    <dataValidation type="list" allowBlank="1" showInputMessage="1" showErrorMessage="1" sqref="C54 C11 H11" xr:uid="{00000000-0002-0000-0300-000000000000}">
      <formula1>DIA</formula1>
    </dataValidation>
    <dataValidation type="list" allowBlank="1" showInputMessage="1" showErrorMessage="1" sqref="D54 D11 I11" xr:uid="{00000000-0002-0000-0300-000001000000}">
      <formula1>MES</formula1>
    </dataValidation>
    <dataValidation type="list" allowBlank="1" showInputMessage="1" showErrorMessage="1" sqref="E54 E11 J11" xr:uid="{00000000-0002-0000-0300-000002000000}">
      <formula1>AÑO</formula1>
    </dataValidation>
  </dataValidations>
  <printOptions horizontalCentered="1" verticalCentered="1"/>
  <pageMargins left="0.23622047244094491" right="0.27559055118110237" top="0.43" bottom="0.46" header="0" footer="0"/>
  <pageSetup scale="83" orientation="portrait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Hoja4.INFORME_NARRATIVO">
                <anchor moveWithCells="1" sizeWithCells="1">
                  <from>
                    <xdr:col>10</xdr:col>
                    <xdr:colOff>257175</xdr:colOff>
                    <xdr:row>1</xdr:row>
                    <xdr:rowOff>57150</xdr:rowOff>
                  </from>
                  <to>
                    <xdr:col>12</xdr:col>
                    <xdr:colOff>152400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rgb="FFC00000"/>
  </sheetPr>
  <dimension ref="B1:O61"/>
  <sheetViews>
    <sheetView showGridLines="0" view="pageBreakPreview" topLeftCell="A40" zoomScaleNormal="100" zoomScaleSheetLayoutView="100" workbookViewId="0"/>
  </sheetViews>
  <sheetFormatPr baseColWidth="10" defaultRowHeight="12.75" x14ac:dyDescent="0.2"/>
  <cols>
    <col min="1" max="1" width="3.28515625" style="21" customWidth="1"/>
    <col min="2" max="2" width="18.28515625" style="21" customWidth="1"/>
    <col min="3" max="6" width="11.7109375" style="21" customWidth="1"/>
    <col min="7" max="7" width="17.140625" style="21" customWidth="1"/>
    <col min="8" max="10" width="11.7109375" style="21" customWidth="1"/>
    <col min="11" max="11" width="5.140625" style="21" customWidth="1"/>
    <col min="12" max="12" width="12.28515625" style="21" customWidth="1"/>
    <col min="13" max="257" width="11.5703125" style="21"/>
    <col min="258" max="258" width="3.28515625" style="21" customWidth="1"/>
    <col min="259" max="266" width="11.7109375" style="21" customWidth="1"/>
    <col min="267" max="267" width="5.140625" style="21" customWidth="1"/>
    <col min="268" max="268" width="12.28515625" style="21" customWidth="1"/>
    <col min="269" max="513" width="11.5703125" style="21"/>
    <col min="514" max="514" width="3.28515625" style="21" customWidth="1"/>
    <col min="515" max="522" width="11.7109375" style="21" customWidth="1"/>
    <col min="523" max="523" width="5.140625" style="21" customWidth="1"/>
    <col min="524" max="524" width="12.28515625" style="21" customWidth="1"/>
    <col min="525" max="769" width="11.5703125" style="21"/>
    <col min="770" max="770" width="3.28515625" style="21" customWidth="1"/>
    <col min="771" max="778" width="11.7109375" style="21" customWidth="1"/>
    <col min="779" max="779" width="5.140625" style="21" customWidth="1"/>
    <col min="780" max="780" width="12.28515625" style="21" customWidth="1"/>
    <col min="781" max="1025" width="11.5703125" style="21"/>
    <col min="1026" max="1026" width="3.28515625" style="21" customWidth="1"/>
    <col min="1027" max="1034" width="11.7109375" style="21" customWidth="1"/>
    <col min="1035" max="1035" width="5.140625" style="21" customWidth="1"/>
    <col min="1036" max="1036" width="12.28515625" style="21" customWidth="1"/>
    <col min="1037" max="1281" width="11.5703125" style="21"/>
    <col min="1282" max="1282" width="3.28515625" style="21" customWidth="1"/>
    <col min="1283" max="1290" width="11.7109375" style="21" customWidth="1"/>
    <col min="1291" max="1291" width="5.140625" style="21" customWidth="1"/>
    <col min="1292" max="1292" width="12.28515625" style="21" customWidth="1"/>
    <col min="1293" max="1537" width="11.5703125" style="21"/>
    <col min="1538" max="1538" width="3.28515625" style="21" customWidth="1"/>
    <col min="1539" max="1546" width="11.7109375" style="21" customWidth="1"/>
    <col min="1547" max="1547" width="5.140625" style="21" customWidth="1"/>
    <col min="1548" max="1548" width="12.28515625" style="21" customWidth="1"/>
    <col min="1549" max="1793" width="11.5703125" style="21"/>
    <col min="1794" max="1794" width="3.28515625" style="21" customWidth="1"/>
    <col min="1795" max="1802" width="11.7109375" style="21" customWidth="1"/>
    <col min="1803" max="1803" width="5.140625" style="21" customWidth="1"/>
    <col min="1804" max="1804" width="12.28515625" style="21" customWidth="1"/>
    <col min="1805" max="2049" width="11.5703125" style="21"/>
    <col min="2050" max="2050" width="3.28515625" style="21" customWidth="1"/>
    <col min="2051" max="2058" width="11.7109375" style="21" customWidth="1"/>
    <col min="2059" max="2059" width="5.140625" style="21" customWidth="1"/>
    <col min="2060" max="2060" width="12.28515625" style="21" customWidth="1"/>
    <col min="2061" max="2305" width="11.5703125" style="21"/>
    <col min="2306" max="2306" width="3.28515625" style="21" customWidth="1"/>
    <col min="2307" max="2314" width="11.7109375" style="21" customWidth="1"/>
    <col min="2315" max="2315" width="5.140625" style="21" customWidth="1"/>
    <col min="2316" max="2316" width="12.28515625" style="21" customWidth="1"/>
    <col min="2317" max="2561" width="11.5703125" style="21"/>
    <col min="2562" max="2562" width="3.28515625" style="21" customWidth="1"/>
    <col min="2563" max="2570" width="11.7109375" style="21" customWidth="1"/>
    <col min="2571" max="2571" width="5.140625" style="21" customWidth="1"/>
    <col min="2572" max="2572" width="12.28515625" style="21" customWidth="1"/>
    <col min="2573" max="2817" width="11.5703125" style="21"/>
    <col min="2818" max="2818" width="3.28515625" style="21" customWidth="1"/>
    <col min="2819" max="2826" width="11.7109375" style="21" customWidth="1"/>
    <col min="2827" max="2827" width="5.140625" style="21" customWidth="1"/>
    <col min="2828" max="2828" width="12.28515625" style="21" customWidth="1"/>
    <col min="2829" max="3073" width="11.5703125" style="21"/>
    <col min="3074" max="3074" width="3.28515625" style="21" customWidth="1"/>
    <col min="3075" max="3082" width="11.7109375" style="21" customWidth="1"/>
    <col min="3083" max="3083" width="5.140625" style="21" customWidth="1"/>
    <col min="3084" max="3084" width="12.28515625" style="21" customWidth="1"/>
    <col min="3085" max="3329" width="11.5703125" style="21"/>
    <col min="3330" max="3330" width="3.28515625" style="21" customWidth="1"/>
    <col min="3331" max="3338" width="11.7109375" style="21" customWidth="1"/>
    <col min="3339" max="3339" width="5.140625" style="21" customWidth="1"/>
    <col min="3340" max="3340" width="12.28515625" style="21" customWidth="1"/>
    <col min="3341" max="3585" width="11.5703125" style="21"/>
    <col min="3586" max="3586" width="3.28515625" style="21" customWidth="1"/>
    <col min="3587" max="3594" width="11.7109375" style="21" customWidth="1"/>
    <col min="3595" max="3595" width="5.140625" style="21" customWidth="1"/>
    <col min="3596" max="3596" width="12.28515625" style="21" customWidth="1"/>
    <col min="3597" max="3841" width="11.5703125" style="21"/>
    <col min="3842" max="3842" width="3.28515625" style="21" customWidth="1"/>
    <col min="3843" max="3850" width="11.7109375" style="21" customWidth="1"/>
    <col min="3851" max="3851" width="5.140625" style="21" customWidth="1"/>
    <col min="3852" max="3852" width="12.28515625" style="21" customWidth="1"/>
    <col min="3853" max="4097" width="11.5703125" style="21"/>
    <col min="4098" max="4098" width="3.28515625" style="21" customWidth="1"/>
    <col min="4099" max="4106" width="11.7109375" style="21" customWidth="1"/>
    <col min="4107" max="4107" width="5.140625" style="21" customWidth="1"/>
    <col min="4108" max="4108" width="12.28515625" style="21" customWidth="1"/>
    <col min="4109" max="4353" width="11.5703125" style="21"/>
    <col min="4354" max="4354" width="3.28515625" style="21" customWidth="1"/>
    <col min="4355" max="4362" width="11.7109375" style="21" customWidth="1"/>
    <col min="4363" max="4363" width="5.140625" style="21" customWidth="1"/>
    <col min="4364" max="4364" width="12.28515625" style="21" customWidth="1"/>
    <col min="4365" max="4609" width="11.5703125" style="21"/>
    <col min="4610" max="4610" width="3.28515625" style="21" customWidth="1"/>
    <col min="4611" max="4618" width="11.7109375" style="21" customWidth="1"/>
    <col min="4619" max="4619" width="5.140625" style="21" customWidth="1"/>
    <col min="4620" max="4620" width="12.28515625" style="21" customWidth="1"/>
    <col min="4621" max="4865" width="11.5703125" style="21"/>
    <col min="4866" max="4866" width="3.28515625" style="21" customWidth="1"/>
    <col min="4867" max="4874" width="11.7109375" style="21" customWidth="1"/>
    <col min="4875" max="4875" width="5.140625" style="21" customWidth="1"/>
    <col min="4876" max="4876" width="12.28515625" style="21" customWidth="1"/>
    <col min="4877" max="5121" width="11.5703125" style="21"/>
    <col min="5122" max="5122" width="3.28515625" style="21" customWidth="1"/>
    <col min="5123" max="5130" width="11.7109375" style="21" customWidth="1"/>
    <col min="5131" max="5131" width="5.140625" style="21" customWidth="1"/>
    <col min="5132" max="5132" width="12.28515625" style="21" customWidth="1"/>
    <col min="5133" max="5377" width="11.5703125" style="21"/>
    <col min="5378" max="5378" width="3.28515625" style="21" customWidth="1"/>
    <col min="5379" max="5386" width="11.7109375" style="21" customWidth="1"/>
    <col min="5387" max="5387" width="5.140625" style="21" customWidth="1"/>
    <col min="5388" max="5388" width="12.28515625" style="21" customWidth="1"/>
    <col min="5389" max="5633" width="11.5703125" style="21"/>
    <col min="5634" max="5634" width="3.28515625" style="21" customWidth="1"/>
    <col min="5635" max="5642" width="11.7109375" style="21" customWidth="1"/>
    <col min="5643" max="5643" width="5.140625" style="21" customWidth="1"/>
    <col min="5644" max="5644" width="12.28515625" style="21" customWidth="1"/>
    <col min="5645" max="5889" width="11.5703125" style="21"/>
    <col min="5890" max="5890" width="3.28515625" style="21" customWidth="1"/>
    <col min="5891" max="5898" width="11.7109375" style="21" customWidth="1"/>
    <col min="5899" max="5899" width="5.140625" style="21" customWidth="1"/>
    <col min="5900" max="5900" width="12.28515625" style="21" customWidth="1"/>
    <col min="5901" max="6145" width="11.5703125" style="21"/>
    <col min="6146" max="6146" width="3.28515625" style="21" customWidth="1"/>
    <col min="6147" max="6154" width="11.7109375" style="21" customWidth="1"/>
    <col min="6155" max="6155" width="5.140625" style="21" customWidth="1"/>
    <col min="6156" max="6156" width="12.28515625" style="21" customWidth="1"/>
    <col min="6157" max="6401" width="11.5703125" style="21"/>
    <col min="6402" max="6402" width="3.28515625" style="21" customWidth="1"/>
    <col min="6403" max="6410" width="11.7109375" style="21" customWidth="1"/>
    <col min="6411" max="6411" width="5.140625" style="21" customWidth="1"/>
    <col min="6412" max="6412" width="12.28515625" style="21" customWidth="1"/>
    <col min="6413" max="6657" width="11.5703125" style="21"/>
    <col min="6658" max="6658" width="3.28515625" style="21" customWidth="1"/>
    <col min="6659" max="6666" width="11.7109375" style="21" customWidth="1"/>
    <col min="6667" max="6667" width="5.140625" style="21" customWidth="1"/>
    <col min="6668" max="6668" width="12.28515625" style="21" customWidth="1"/>
    <col min="6669" max="6913" width="11.5703125" style="21"/>
    <col min="6914" max="6914" width="3.28515625" style="21" customWidth="1"/>
    <col min="6915" max="6922" width="11.7109375" style="21" customWidth="1"/>
    <col min="6923" max="6923" width="5.140625" style="21" customWidth="1"/>
    <col min="6924" max="6924" width="12.28515625" style="21" customWidth="1"/>
    <col min="6925" max="7169" width="11.5703125" style="21"/>
    <col min="7170" max="7170" width="3.28515625" style="21" customWidth="1"/>
    <col min="7171" max="7178" width="11.7109375" style="21" customWidth="1"/>
    <col min="7179" max="7179" width="5.140625" style="21" customWidth="1"/>
    <col min="7180" max="7180" width="12.28515625" style="21" customWidth="1"/>
    <col min="7181" max="7425" width="11.5703125" style="21"/>
    <col min="7426" max="7426" width="3.28515625" style="21" customWidth="1"/>
    <col min="7427" max="7434" width="11.7109375" style="21" customWidth="1"/>
    <col min="7435" max="7435" width="5.140625" style="21" customWidth="1"/>
    <col min="7436" max="7436" width="12.28515625" style="21" customWidth="1"/>
    <col min="7437" max="7681" width="11.5703125" style="21"/>
    <col min="7682" max="7682" width="3.28515625" style="21" customWidth="1"/>
    <col min="7683" max="7690" width="11.7109375" style="21" customWidth="1"/>
    <col min="7691" max="7691" width="5.140625" style="21" customWidth="1"/>
    <col min="7692" max="7692" width="12.28515625" style="21" customWidth="1"/>
    <col min="7693" max="7937" width="11.5703125" style="21"/>
    <col min="7938" max="7938" width="3.28515625" style="21" customWidth="1"/>
    <col min="7939" max="7946" width="11.7109375" style="21" customWidth="1"/>
    <col min="7947" max="7947" width="5.140625" style="21" customWidth="1"/>
    <col min="7948" max="7948" width="12.28515625" style="21" customWidth="1"/>
    <col min="7949" max="8193" width="11.5703125" style="21"/>
    <col min="8194" max="8194" width="3.28515625" style="21" customWidth="1"/>
    <col min="8195" max="8202" width="11.7109375" style="21" customWidth="1"/>
    <col min="8203" max="8203" width="5.140625" style="21" customWidth="1"/>
    <col min="8204" max="8204" width="12.28515625" style="21" customWidth="1"/>
    <col min="8205" max="8449" width="11.5703125" style="21"/>
    <col min="8450" max="8450" width="3.28515625" style="21" customWidth="1"/>
    <col min="8451" max="8458" width="11.7109375" style="21" customWidth="1"/>
    <col min="8459" max="8459" width="5.140625" style="21" customWidth="1"/>
    <col min="8460" max="8460" width="12.28515625" style="21" customWidth="1"/>
    <col min="8461" max="8705" width="11.5703125" style="21"/>
    <col min="8706" max="8706" width="3.28515625" style="21" customWidth="1"/>
    <col min="8707" max="8714" width="11.7109375" style="21" customWidth="1"/>
    <col min="8715" max="8715" width="5.140625" style="21" customWidth="1"/>
    <col min="8716" max="8716" width="12.28515625" style="21" customWidth="1"/>
    <col min="8717" max="8961" width="11.5703125" style="21"/>
    <col min="8962" max="8962" width="3.28515625" style="21" customWidth="1"/>
    <col min="8963" max="8970" width="11.7109375" style="21" customWidth="1"/>
    <col min="8971" max="8971" width="5.140625" style="21" customWidth="1"/>
    <col min="8972" max="8972" width="12.28515625" style="21" customWidth="1"/>
    <col min="8973" max="9217" width="11.5703125" style="21"/>
    <col min="9218" max="9218" width="3.28515625" style="21" customWidth="1"/>
    <col min="9219" max="9226" width="11.7109375" style="21" customWidth="1"/>
    <col min="9227" max="9227" width="5.140625" style="21" customWidth="1"/>
    <col min="9228" max="9228" width="12.28515625" style="21" customWidth="1"/>
    <col min="9229" max="9473" width="11.5703125" style="21"/>
    <col min="9474" max="9474" width="3.28515625" style="21" customWidth="1"/>
    <col min="9475" max="9482" width="11.7109375" style="21" customWidth="1"/>
    <col min="9483" max="9483" width="5.140625" style="21" customWidth="1"/>
    <col min="9484" max="9484" width="12.28515625" style="21" customWidth="1"/>
    <col min="9485" max="9729" width="11.5703125" style="21"/>
    <col min="9730" max="9730" width="3.28515625" style="21" customWidth="1"/>
    <col min="9731" max="9738" width="11.7109375" style="21" customWidth="1"/>
    <col min="9739" max="9739" width="5.140625" style="21" customWidth="1"/>
    <col min="9740" max="9740" width="12.28515625" style="21" customWidth="1"/>
    <col min="9741" max="9985" width="11.5703125" style="21"/>
    <col min="9986" max="9986" width="3.28515625" style="21" customWidth="1"/>
    <col min="9987" max="9994" width="11.7109375" style="21" customWidth="1"/>
    <col min="9995" max="9995" width="5.140625" style="21" customWidth="1"/>
    <col min="9996" max="9996" width="12.28515625" style="21" customWidth="1"/>
    <col min="9997" max="10241" width="11.5703125" style="21"/>
    <col min="10242" max="10242" width="3.28515625" style="21" customWidth="1"/>
    <col min="10243" max="10250" width="11.7109375" style="21" customWidth="1"/>
    <col min="10251" max="10251" width="5.140625" style="21" customWidth="1"/>
    <col min="10252" max="10252" width="12.28515625" style="21" customWidth="1"/>
    <col min="10253" max="10497" width="11.5703125" style="21"/>
    <col min="10498" max="10498" width="3.28515625" style="21" customWidth="1"/>
    <col min="10499" max="10506" width="11.7109375" style="21" customWidth="1"/>
    <col min="10507" max="10507" width="5.140625" style="21" customWidth="1"/>
    <col min="10508" max="10508" width="12.28515625" style="21" customWidth="1"/>
    <col min="10509" max="10753" width="11.5703125" style="21"/>
    <col min="10754" max="10754" width="3.28515625" style="21" customWidth="1"/>
    <col min="10755" max="10762" width="11.7109375" style="21" customWidth="1"/>
    <col min="10763" max="10763" width="5.140625" style="21" customWidth="1"/>
    <col min="10764" max="10764" width="12.28515625" style="21" customWidth="1"/>
    <col min="10765" max="11009" width="11.5703125" style="21"/>
    <col min="11010" max="11010" width="3.28515625" style="21" customWidth="1"/>
    <col min="11011" max="11018" width="11.7109375" style="21" customWidth="1"/>
    <col min="11019" max="11019" width="5.140625" style="21" customWidth="1"/>
    <col min="11020" max="11020" width="12.28515625" style="21" customWidth="1"/>
    <col min="11021" max="11265" width="11.5703125" style="21"/>
    <col min="11266" max="11266" width="3.28515625" style="21" customWidth="1"/>
    <col min="11267" max="11274" width="11.7109375" style="21" customWidth="1"/>
    <col min="11275" max="11275" width="5.140625" style="21" customWidth="1"/>
    <col min="11276" max="11276" width="12.28515625" style="21" customWidth="1"/>
    <col min="11277" max="11521" width="11.5703125" style="21"/>
    <col min="11522" max="11522" width="3.28515625" style="21" customWidth="1"/>
    <col min="11523" max="11530" width="11.7109375" style="21" customWidth="1"/>
    <col min="11531" max="11531" width="5.140625" style="21" customWidth="1"/>
    <col min="11532" max="11532" width="12.28515625" style="21" customWidth="1"/>
    <col min="11533" max="11777" width="11.5703125" style="21"/>
    <col min="11778" max="11778" width="3.28515625" style="21" customWidth="1"/>
    <col min="11779" max="11786" width="11.7109375" style="21" customWidth="1"/>
    <col min="11787" max="11787" width="5.140625" style="21" customWidth="1"/>
    <col min="11788" max="11788" width="12.28515625" style="21" customWidth="1"/>
    <col min="11789" max="12033" width="11.5703125" style="21"/>
    <col min="12034" max="12034" width="3.28515625" style="21" customWidth="1"/>
    <col min="12035" max="12042" width="11.7109375" style="21" customWidth="1"/>
    <col min="12043" max="12043" width="5.140625" style="21" customWidth="1"/>
    <col min="12044" max="12044" width="12.28515625" style="21" customWidth="1"/>
    <col min="12045" max="12289" width="11.5703125" style="21"/>
    <col min="12290" max="12290" width="3.28515625" style="21" customWidth="1"/>
    <col min="12291" max="12298" width="11.7109375" style="21" customWidth="1"/>
    <col min="12299" max="12299" width="5.140625" style="21" customWidth="1"/>
    <col min="12300" max="12300" width="12.28515625" style="21" customWidth="1"/>
    <col min="12301" max="12545" width="11.5703125" style="21"/>
    <col min="12546" max="12546" width="3.28515625" style="21" customWidth="1"/>
    <col min="12547" max="12554" width="11.7109375" style="21" customWidth="1"/>
    <col min="12555" max="12555" width="5.140625" style="21" customWidth="1"/>
    <col min="12556" max="12556" width="12.28515625" style="21" customWidth="1"/>
    <col min="12557" max="12801" width="11.5703125" style="21"/>
    <col min="12802" max="12802" width="3.28515625" style="21" customWidth="1"/>
    <col min="12803" max="12810" width="11.7109375" style="21" customWidth="1"/>
    <col min="12811" max="12811" width="5.140625" style="21" customWidth="1"/>
    <col min="12812" max="12812" width="12.28515625" style="21" customWidth="1"/>
    <col min="12813" max="13057" width="11.5703125" style="21"/>
    <col min="13058" max="13058" width="3.28515625" style="21" customWidth="1"/>
    <col min="13059" max="13066" width="11.7109375" style="21" customWidth="1"/>
    <col min="13067" max="13067" width="5.140625" style="21" customWidth="1"/>
    <col min="13068" max="13068" width="12.28515625" style="21" customWidth="1"/>
    <col min="13069" max="13313" width="11.5703125" style="21"/>
    <col min="13314" max="13314" width="3.28515625" style="21" customWidth="1"/>
    <col min="13315" max="13322" width="11.7109375" style="21" customWidth="1"/>
    <col min="13323" max="13323" width="5.140625" style="21" customWidth="1"/>
    <col min="13324" max="13324" width="12.28515625" style="21" customWidth="1"/>
    <col min="13325" max="13569" width="11.5703125" style="21"/>
    <col min="13570" max="13570" width="3.28515625" style="21" customWidth="1"/>
    <col min="13571" max="13578" width="11.7109375" style="21" customWidth="1"/>
    <col min="13579" max="13579" width="5.140625" style="21" customWidth="1"/>
    <col min="13580" max="13580" width="12.28515625" style="21" customWidth="1"/>
    <col min="13581" max="13825" width="11.5703125" style="21"/>
    <col min="13826" max="13826" width="3.28515625" style="21" customWidth="1"/>
    <col min="13827" max="13834" width="11.7109375" style="21" customWidth="1"/>
    <col min="13835" max="13835" width="5.140625" style="21" customWidth="1"/>
    <col min="13836" max="13836" width="12.28515625" style="21" customWidth="1"/>
    <col min="13837" max="14081" width="11.5703125" style="21"/>
    <col min="14082" max="14082" width="3.28515625" style="21" customWidth="1"/>
    <col min="14083" max="14090" width="11.7109375" style="21" customWidth="1"/>
    <col min="14091" max="14091" width="5.140625" style="21" customWidth="1"/>
    <col min="14092" max="14092" width="12.28515625" style="21" customWidth="1"/>
    <col min="14093" max="14337" width="11.5703125" style="21"/>
    <col min="14338" max="14338" width="3.28515625" style="21" customWidth="1"/>
    <col min="14339" max="14346" width="11.7109375" style="21" customWidth="1"/>
    <col min="14347" max="14347" width="5.140625" style="21" customWidth="1"/>
    <col min="14348" max="14348" width="12.28515625" style="21" customWidth="1"/>
    <col min="14349" max="14593" width="11.5703125" style="21"/>
    <col min="14594" max="14594" width="3.28515625" style="21" customWidth="1"/>
    <col min="14595" max="14602" width="11.7109375" style="21" customWidth="1"/>
    <col min="14603" max="14603" width="5.140625" style="21" customWidth="1"/>
    <col min="14604" max="14604" width="12.28515625" style="21" customWidth="1"/>
    <col min="14605" max="14849" width="11.5703125" style="21"/>
    <col min="14850" max="14850" width="3.28515625" style="21" customWidth="1"/>
    <col min="14851" max="14858" width="11.7109375" style="21" customWidth="1"/>
    <col min="14859" max="14859" width="5.140625" style="21" customWidth="1"/>
    <col min="14860" max="14860" width="12.28515625" style="21" customWidth="1"/>
    <col min="14861" max="15105" width="11.5703125" style="21"/>
    <col min="15106" max="15106" width="3.28515625" style="21" customWidth="1"/>
    <col min="15107" max="15114" width="11.7109375" style="21" customWidth="1"/>
    <col min="15115" max="15115" width="5.140625" style="21" customWidth="1"/>
    <col min="15116" max="15116" width="12.28515625" style="21" customWidth="1"/>
    <col min="15117" max="15361" width="11.5703125" style="21"/>
    <col min="15362" max="15362" width="3.28515625" style="21" customWidth="1"/>
    <col min="15363" max="15370" width="11.7109375" style="21" customWidth="1"/>
    <col min="15371" max="15371" width="5.140625" style="21" customWidth="1"/>
    <col min="15372" max="15372" width="12.28515625" style="21" customWidth="1"/>
    <col min="15373" max="15617" width="11.5703125" style="21"/>
    <col min="15618" max="15618" width="3.28515625" style="21" customWidth="1"/>
    <col min="15619" max="15626" width="11.7109375" style="21" customWidth="1"/>
    <col min="15627" max="15627" width="5.140625" style="21" customWidth="1"/>
    <col min="15628" max="15628" width="12.28515625" style="21" customWidth="1"/>
    <col min="15629" max="15873" width="11.5703125" style="21"/>
    <col min="15874" max="15874" width="3.28515625" style="21" customWidth="1"/>
    <col min="15875" max="15882" width="11.7109375" style="21" customWidth="1"/>
    <col min="15883" max="15883" width="5.140625" style="21" customWidth="1"/>
    <col min="15884" max="15884" width="12.28515625" style="21" customWidth="1"/>
    <col min="15885" max="16129" width="11.5703125" style="21"/>
    <col min="16130" max="16130" width="3.28515625" style="21" customWidth="1"/>
    <col min="16131" max="16138" width="11.7109375" style="21" customWidth="1"/>
    <col min="16139" max="16139" width="5.140625" style="21" customWidth="1"/>
    <col min="16140" max="16140" width="12.28515625" style="21" customWidth="1"/>
    <col min="16141" max="16384" width="11.5703125" style="21"/>
  </cols>
  <sheetData>
    <row r="1" spans="2:12" x14ac:dyDescent="0.2">
      <c r="B1" s="46"/>
      <c r="C1" s="46"/>
      <c r="D1" s="46"/>
      <c r="E1" s="46"/>
      <c r="F1" s="46"/>
      <c r="G1" s="46"/>
      <c r="H1" s="46"/>
      <c r="I1" s="46"/>
      <c r="J1" s="46"/>
    </row>
    <row r="3" spans="2:12" x14ac:dyDescent="0.2">
      <c r="B3" s="236" t="s">
        <v>61</v>
      </c>
      <c r="C3" s="236"/>
      <c r="D3" s="236"/>
      <c r="E3" s="236"/>
      <c r="F3" s="236"/>
      <c r="G3" s="236"/>
      <c r="H3" s="236"/>
      <c r="I3" s="236"/>
      <c r="J3" s="236"/>
    </row>
    <row r="4" spans="2:12" x14ac:dyDescent="0.2">
      <c r="B4" s="236" t="s">
        <v>62</v>
      </c>
      <c r="C4" s="236"/>
      <c r="D4" s="236"/>
      <c r="E4" s="236"/>
      <c r="F4" s="236"/>
      <c r="G4" s="236"/>
      <c r="H4" s="236"/>
      <c r="I4" s="236"/>
      <c r="J4" s="236"/>
    </row>
    <row r="5" spans="2:12" x14ac:dyDescent="0.2">
      <c r="B5" s="236" t="s">
        <v>63</v>
      </c>
      <c r="C5" s="236"/>
      <c r="D5" s="236"/>
      <c r="E5" s="236"/>
      <c r="F5" s="236"/>
      <c r="G5" s="236"/>
      <c r="H5" s="236"/>
      <c r="I5" s="236"/>
      <c r="J5" s="236"/>
    </row>
    <row r="6" spans="2:12" x14ac:dyDescent="0.2">
      <c r="B6" s="22"/>
    </row>
    <row r="7" spans="2:12" x14ac:dyDescent="0.2">
      <c r="B7" s="237" t="s">
        <v>101</v>
      </c>
      <c r="C7" s="237"/>
      <c r="D7" s="237"/>
      <c r="E7" s="237"/>
      <c r="F7" s="237"/>
      <c r="G7" s="237"/>
      <c r="H7" s="237"/>
      <c r="I7" s="237"/>
      <c r="J7" s="237"/>
    </row>
    <row r="9" spans="2:12" x14ac:dyDescent="0.2">
      <c r="B9" s="24" t="s">
        <v>64</v>
      </c>
      <c r="C9" s="251" t="s">
        <v>336</v>
      </c>
      <c r="D9" s="251"/>
      <c r="E9" s="251"/>
      <c r="F9" s="50"/>
      <c r="G9" s="24" t="s">
        <v>65</v>
      </c>
      <c r="H9" s="252" t="s">
        <v>335</v>
      </c>
      <c r="I9" s="252"/>
      <c r="J9" s="252"/>
    </row>
    <row r="10" spans="2:12" x14ac:dyDescent="0.2">
      <c r="B10" s="24" t="s">
        <v>66</v>
      </c>
      <c r="C10" s="252" t="s">
        <v>150</v>
      </c>
      <c r="D10" s="252"/>
      <c r="E10" s="252"/>
      <c r="F10" s="51"/>
      <c r="G10" s="24" t="s">
        <v>2</v>
      </c>
      <c r="H10" s="252" t="s">
        <v>343</v>
      </c>
      <c r="I10" s="252"/>
      <c r="J10" s="252"/>
    </row>
    <row r="11" spans="2:12" x14ac:dyDescent="0.2">
      <c r="B11" s="24" t="s">
        <v>67</v>
      </c>
      <c r="C11" s="83">
        <v>30</v>
      </c>
      <c r="D11" s="77">
        <v>12</v>
      </c>
      <c r="E11" s="62">
        <v>2024</v>
      </c>
      <c r="F11" s="50"/>
      <c r="G11" s="24" t="s">
        <v>90</v>
      </c>
      <c r="H11" s="83"/>
      <c r="I11" s="77"/>
      <c r="J11" s="62"/>
    </row>
    <row r="12" spans="2:12" ht="13.5" thickBot="1" x14ac:dyDescent="0.25">
      <c r="C12" s="34" t="s">
        <v>171</v>
      </c>
      <c r="D12" s="34" t="s">
        <v>118</v>
      </c>
      <c r="E12" s="34" t="s">
        <v>119</v>
      </c>
      <c r="H12" s="34" t="s">
        <v>171</v>
      </c>
      <c r="I12" s="34" t="s">
        <v>118</v>
      </c>
      <c r="J12" s="34" t="s">
        <v>119</v>
      </c>
    </row>
    <row r="13" spans="2:12" ht="12.75" customHeight="1" x14ac:dyDescent="0.2">
      <c r="B13" s="242"/>
      <c r="C13" s="243"/>
      <c r="D13" s="243"/>
      <c r="E13" s="243"/>
      <c r="F13" s="243"/>
      <c r="G13" s="243"/>
      <c r="H13" s="243"/>
      <c r="I13" s="243"/>
      <c r="J13" s="244"/>
    </row>
    <row r="14" spans="2:12" ht="12.75" customHeight="1" x14ac:dyDescent="0.2">
      <c r="B14" s="245"/>
      <c r="C14" s="246"/>
      <c r="D14" s="246"/>
      <c r="E14" s="246"/>
      <c r="F14" s="246"/>
      <c r="G14" s="246"/>
      <c r="H14" s="246"/>
      <c r="I14" s="246"/>
      <c r="J14" s="247"/>
    </row>
    <row r="15" spans="2:12" ht="12.75" customHeight="1" x14ac:dyDescent="0.2">
      <c r="B15" s="245"/>
      <c r="C15" s="246"/>
      <c r="D15" s="246"/>
      <c r="E15" s="246"/>
      <c r="F15" s="246"/>
      <c r="G15" s="246"/>
      <c r="H15" s="246"/>
      <c r="I15" s="246"/>
      <c r="J15" s="247"/>
      <c r="L15" s="52" t="s">
        <v>102</v>
      </c>
    </row>
    <row r="16" spans="2:12" ht="12.75" customHeight="1" x14ac:dyDescent="0.2">
      <c r="B16" s="245"/>
      <c r="C16" s="246"/>
      <c r="D16" s="246"/>
      <c r="E16" s="246"/>
      <c r="F16" s="246"/>
      <c r="G16" s="246"/>
      <c r="H16" s="246"/>
      <c r="I16" s="246"/>
      <c r="J16" s="247"/>
      <c r="L16" s="52"/>
    </row>
    <row r="17" spans="2:13" ht="12.75" customHeight="1" x14ac:dyDescent="0.2">
      <c r="B17" s="245"/>
      <c r="C17" s="246"/>
      <c r="D17" s="246"/>
      <c r="E17" s="246"/>
      <c r="F17" s="246"/>
      <c r="G17" s="246"/>
      <c r="H17" s="246"/>
      <c r="I17" s="246"/>
      <c r="J17" s="247"/>
      <c r="L17" s="52" t="s">
        <v>103</v>
      </c>
    </row>
    <row r="18" spans="2:13" ht="12.75" customHeight="1" x14ac:dyDescent="0.2">
      <c r="B18" s="245"/>
      <c r="C18" s="246"/>
      <c r="D18" s="246"/>
      <c r="E18" s="246"/>
      <c r="F18" s="246"/>
      <c r="G18" s="246"/>
      <c r="H18" s="246"/>
      <c r="I18" s="246"/>
      <c r="J18" s="247"/>
      <c r="L18" s="52"/>
    </row>
    <row r="19" spans="2:13" ht="12.75" customHeight="1" x14ac:dyDescent="0.2">
      <c r="B19" s="245"/>
      <c r="C19" s="246"/>
      <c r="D19" s="246"/>
      <c r="E19" s="246"/>
      <c r="F19" s="246"/>
      <c r="G19" s="246"/>
      <c r="H19" s="246"/>
      <c r="I19" s="246"/>
      <c r="J19" s="247"/>
      <c r="L19" s="52" t="s">
        <v>104</v>
      </c>
    </row>
    <row r="20" spans="2:13" ht="12.75" customHeight="1" x14ac:dyDescent="0.2">
      <c r="B20" s="245"/>
      <c r="C20" s="246"/>
      <c r="D20" s="246"/>
      <c r="E20" s="246"/>
      <c r="F20" s="246"/>
      <c r="G20" s="246"/>
      <c r="H20" s="246"/>
      <c r="I20" s="246"/>
      <c r="J20" s="247"/>
    </row>
    <row r="21" spans="2:13" ht="12.75" customHeight="1" x14ac:dyDescent="0.2">
      <c r="B21" s="245"/>
      <c r="C21" s="246"/>
      <c r="D21" s="246"/>
      <c r="E21" s="246"/>
      <c r="F21" s="246"/>
      <c r="G21" s="246"/>
      <c r="H21" s="246"/>
      <c r="I21" s="246"/>
      <c r="J21" s="247"/>
    </row>
    <row r="22" spans="2:13" ht="12.75" customHeight="1" x14ac:dyDescent="0.2">
      <c r="B22" s="245"/>
      <c r="C22" s="246"/>
      <c r="D22" s="246"/>
      <c r="E22" s="246"/>
      <c r="F22" s="246"/>
      <c r="G22" s="246"/>
      <c r="H22" s="246"/>
      <c r="I22" s="246"/>
      <c r="J22" s="247"/>
    </row>
    <row r="23" spans="2:13" ht="12.75" customHeight="1" x14ac:dyDescent="0.2">
      <c r="B23" s="245"/>
      <c r="C23" s="246"/>
      <c r="D23" s="246"/>
      <c r="E23" s="246"/>
      <c r="F23" s="246"/>
      <c r="G23" s="246"/>
      <c r="H23" s="246"/>
      <c r="I23" s="246"/>
      <c r="J23" s="247"/>
    </row>
    <row r="24" spans="2:13" ht="12.75" customHeight="1" x14ac:dyDescent="0.2">
      <c r="B24" s="245"/>
      <c r="C24" s="246"/>
      <c r="D24" s="246"/>
      <c r="E24" s="246"/>
      <c r="F24" s="246"/>
      <c r="G24" s="246"/>
      <c r="H24" s="246"/>
      <c r="I24" s="246"/>
      <c r="J24" s="247"/>
    </row>
    <row r="25" spans="2:13" ht="12.75" customHeight="1" x14ac:dyDescent="0.2">
      <c r="B25" s="245"/>
      <c r="C25" s="246"/>
      <c r="D25" s="246"/>
      <c r="E25" s="246"/>
      <c r="F25" s="246"/>
      <c r="G25" s="246"/>
      <c r="H25" s="246"/>
      <c r="I25" s="246"/>
      <c r="J25" s="247"/>
      <c r="M25" s="21" t="s">
        <v>326</v>
      </c>
    </row>
    <row r="26" spans="2:13" ht="12.75" customHeight="1" x14ac:dyDescent="0.2">
      <c r="B26" s="245"/>
      <c r="C26" s="246"/>
      <c r="D26" s="246"/>
      <c r="E26" s="246"/>
      <c r="F26" s="246"/>
      <c r="G26" s="246"/>
      <c r="H26" s="246"/>
      <c r="I26" s="246"/>
      <c r="J26" s="247"/>
    </row>
    <row r="27" spans="2:13" ht="12.75" customHeight="1" x14ac:dyDescent="0.2">
      <c r="B27" s="245"/>
      <c r="C27" s="246"/>
      <c r="D27" s="246"/>
      <c r="E27" s="246"/>
      <c r="F27" s="246"/>
      <c r="G27" s="246"/>
      <c r="H27" s="246"/>
      <c r="I27" s="246"/>
      <c r="J27" s="247"/>
    </row>
    <row r="28" spans="2:13" ht="12.75" customHeight="1" x14ac:dyDescent="0.2">
      <c r="B28" s="245"/>
      <c r="C28" s="246"/>
      <c r="D28" s="246"/>
      <c r="E28" s="246"/>
      <c r="F28" s="246"/>
      <c r="G28" s="246"/>
      <c r="H28" s="246"/>
      <c r="I28" s="246"/>
      <c r="J28" s="247"/>
    </row>
    <row r="29" spans="2:13" ht="12.75" customHeight="1" x14ac:dyDescent="0.2">
      <c r="B29" s="245"/>
      <c r="C29" s="246"/>
      <c r="D29" s="246"/>
      <c r="E29" s="246"/>
      <c r="F29" s="246"/>
      <c r="G29" s="246"/>
      <c r="H29" s="246"/>
      <c r="I29" s="246"/>
      <c r="J29" s="247"/>
      <c r="M29" s="21" t="s">
        <v>327</v>
      </c>
    </row>
    <row r="30" spans="2:13" ht="12.75" customHeight="1" x14ac:dyDescent="0.2">
      <c r="B30" s="245"/>
      <c r="C30" s="246"/>
      <c r="D30" s="246"/>
      <c r="E30" s="246"/>
      <c r="F30" s="246"/>
      <c r="G30" s="246"/>
      <c r="H30" s="246"/>
      <c r="I30" s="246"/>
      <c r="J30" s="247"/>
    </row>
    <row r="31" spans="2:13" ht="12.75" customHeight="1" x14ac:dyDescent="0.2">
      <c r="B31" s="245"/>
      <c r="C31" s="246"/>
      <c r="D31" s="246"/>
      <c r="E31" s="246"/>
      <c r="F31" s="246"/>
      <c r="G31" s="246"/>
      <c r="H31" s="246"/>
      <c r="I31" s="246"/>
      <c r="J31" s="247"/>
    </row>
    <row r="32" spans="2:13" ht="12.75" customHeight="1" x14ac:dyDescent="0.2">
      <c r="B32" s="245"/>
      <c r="C32" s="246"/>
      <c r="D32" s="246"/>
      <c r="E32" s="246"/>
      <c r="F32" s="246"/>
      <c r="G32" s="246"/>
      <c r="H32" s="246"/>
      <c r="I32" s="246"/>
      <c r="J32" s="247"/>
    </row>
    <row r="33" spans="2:15" ht="12.75" customHeight="1" x14ac:dyDescent="0.2">
      <c r="B33" s="245"/>
      <c r="C33" s="246"/>
      <c r="D33" s="246"/>
      <c r="E33" s="246"/>
      <c r="F33" s="246"/>
      <c r="G33" s="246"/>
      <c r="H33" s="246"/>
      <c r="I33" s="246"/>
      <c r="J33" s="247"/>
    </row>
    <row r="34" spans="2:15" ht="12.75" customHeight="1" x14ac:dyDescent="0.2">
      <c r="B34" s="245"/>
      <c r="C34" s="246"/>
      <c r="D34" s="246"/>
      <c r="E34" s="246"/>
      <c r="F34" s="246"/>
      <c r="G34" s="246"/>
      <c r="H34" s="246"/>
      <c r="I34" s="246"/>
      <c r="J34" s="247"/>
    </row>
    <row r="35" spans="2:15" ht="12.75" customHeight="1" x14ac:dyDescent="0.2">
      <c r="B35" s="245"/>
      <c r="C35" s="246"/>
      <c r="D35" s="246"/>
      <c r="E35" s="246"/>
      <c r="F35" s="246"/>
      <c r="G35" s="246"/>
      <c r="H35" s="246"/>
      <c r="I35" s="246"/>
      <c r="J35" s="247"/>
    </row>
    <row r="36" spans="2:15" ht="12.75" customHeight="1" x14ac:dyDescent="0.2">
      <c r="B36" s="245"/>
      <c r="C36" s="246"/>
      <c r="D36" s="246"/>
      <c r="E36" s="246"/>
      <c r="F36" s="246"/>
      <c r="G36" s="246"/>
      <c r="H36" s="246"/>
      <c r="I36" s="246"/>
      <c r="J36" s="247"/>
    </row>
    <row r="37" spans="2:15" ht="12.75" customHeight="1" x14ac:dyDescent="0.2">
      <c r="B37" s="245"/>
      <c r="C37" s="246"/>
      <c r="D37" s="246"/>
      <c r="E37" s="246"/>
      <c r="F37" s="246"/>
      <c r="G37" s="246"/>
      <c r="H37" s="246"/>
      <c r="I37" s="246"/>
      <c r="J37" s="247"/>
    </row>
    <row r="38" spans="2:15" ht="12.75" customHeight="1" x14ac:dyDescent="0.25">
      <c r="B38" s="245"/>
      <c r="C38" s="246"/>
      <c r="D38" s="246"/>
      <c r="E38" s="246"/>
      <c r="F38" s="246"/>
      <c r="G38" s="246"/>
      <c r="H38" s="246"/>
      <c r="I38" s="246"/>
      <c r="J38" s="247"/>
      <c r="O38"/>
    </row>
    <row r="39" spans="2:15" ht="12.75" customHeight="1" x14ac:dyDescent="0.2">
      <c r="B39" s="245"/>
      <c r="C39" s="246"/>
      <c r="D39" s="246"/>
      <c r="E39" s="246"/>
      <c r="F39" s="246"/>
      <c r="G39" s="246"/>
      <c r="H39" s="246"/>
      <c r="I39" s="246"/>
      <c r="J39" s="247"/>
    </row>
    <row r="40" spans="2:15" ht="12.75" customHeight="1" x14ac:dyDescent="0.2">
      <c r="B40" s="245"/>
      <c r="C40" s="246"/>
      <c r="D40" s="246"/>
      <c r="E40" s="246"/>
      <c r="F40" s="246"/>
      <c r="G40" s="246"/>
      <c r="H40" s="246"/>
      <c r="I40" s="246"/>
      <c r="J40" s="247"/>
    </row>
    <row r="41" spans="2:15" ht="12.75" customHeight="1" x14ac:dyDescent="0.2">
      <c r="B41" s="245"/>
      <c r="C41" s="246"/>
      <c r="D41" s="246"/>
      <c r="E41" s="246"/>
      <c r="F41" s="246"/>
      <c r="G41" s="246"/>
      <c r="H41" s="246"/>
      <c r="I41" s="246"/>
      <c r="J41" s="247"/>
    </row>
    <row r="42" spans="2:15" ht="12.75" customHeight="1" x14ac:dyDescent="0.2">
      <c r="B42" s="245"/>
      <c r="C42" s="246"/>
      <c r="D42" s="246"/>
      <c r="E42" s="246"/>
      <c r="F42" s="246"/>
      <c r="G42" s="246"/>
      <c r="H42" s="246"/>
      <c r="I42" s="246"/>
      <c r="J42" s="247"/>
    </row>
    <row r="43" spans="2:15" ht="12.75" customHeight="1" x14ac:dyDescent="0.2">
      <c r="B43" s="245"/>
      <c r="C43" s="246"/>
      <c r="D43" s="246"/>
      <c r="E43" s="246"/>
      <c r="F43" s="246"/>
      <c r="G43" s="246"/>
      <c r="H43" s="246"/>
      <c r="I43" s="246"/>
      <c r="J43" s="247"/>
    </row>
    <row r="44" spans="2:15" ht="12.75" customHeight="1" x14ac:dyDescent="0.2">
      <c r="B44" s="245"/>
      <c r="C44" s="246"/>
      <c r="D44" s="246"/>
      <c r="E44" s="246"/>
      <c r="F44" s="246"/>
      <c r="G44" s="246"/>
      <c r="H44" s="246"/>
      <c r="I44" s="246"/>
      <c r="J44" s="247"/>
    </row>
    <row r="45" spans="2:15" ht="12.75" customHeight="1" x14ac:dyDescent="0.2">
      <c r="B45" s="245"/>
      <c r="C45" s="246"/>
      <c r="D45" s="246"/>
      <c r="E45" s="246"/>
      <c r="F45" s="246"/>
      <c r="G45" s="246"/>
      <c r="H45" s="246"/>
      <c r="I45" s="246"/>
      <c r="J45" s="247"/>
    </row>
    <row r="46" spans="2:15" ht="12.75" customHeight="1" x14ac:dyDescent="0.2">
      <c r="B46" s="245"/>
      <c r="C46" s="246"/>
      <c r="D46" s="246"/>
      <c r="E46" s="246"/>
      <c r="F46" s="246"/>
      <c r="G46" s="246"/>
      <c r="H46" s="246"/>
      <c r="I46" s="246"/>
      <c r="J46" s="247"/>
    </row>
    <row r="47" spans="2:15" ht="12.75" customHeight="1" x14ac:dyDescent="0.2">
      <c r="B47" s="245"/>
      <c r="C47" s="246"/>
      <c r="D47" s="246"/>
      <c r="E47" s="246"/>
      <c r="F47" s="246"/>
      <c r="G47" s="246"/>
      <c r="H47" s="246"/>
      <c r="I47" s="246"/>
      <c r="J47" s="247"/>
    </row>
    <row r="48" spans="2:15" ht="12.75" customHeight="1" x14ac:dyDescent="0.2">
      <c r="B48" s="245"/>
      <c r="C48" s="246"/>
      <c r="D48" s="246"/>
      <c r="E48" s="246"/>
      <c r="F48" s="246"/>
      <c r="G48" s="246"/>
      <c r="H48" s="246"/>
      <c r="I48" s="246"/>
      <c r="J48" s="247"/>
    </row>
    <row r="49" spans="2:10" ht="12.75" customHeight="1" x14ac:dyDescent="0.2">
      <c r="B49" s="245"/>
      <c r="C49" s="246"/>
      <c r="D49" s="246"/>
      <c r="E49" s="246"/>
      <c r="F49" s="246"/>
      <c r="G49" s="246"/>
      <c r="H49" s="246"/>
      <c r="I49" s="246"/>
      <c r="J49" s="247"/>
    </row>
    <row r="50" spans="2:10" ht="12.75" customHeight="1" x14ac:dyDescent="0.2">
      <c r="B50" s="245"/>
      <c r="C50" s="246"/>
      <c r="D50" s="246"/>
      <c r="E50" s="246"/>
      <c r="F50" s="246"/>
      <c r="G50" s="246"/>
      <c r="H50" s="246"/>
      <c r="I50" s="246"/>
      <c r="J50" s="247"/>
    </row>
    <row r="51" spans="2:10" ht="12.75" customHeight="1" x14ac:dyDescent="0.2">
      <c r="B51" s="245"/>
      <c r="C51" s="246"/>
      <c r="D51" s="246"/>
      <c r="E51" s="246"/>
      <c r="F51" s="246"/>
      <c r="G51" s="246"/>
      <c r="H51" s="246"/>
      <c r="I51" s="246"/>
      <c r="J51" s="247"/>
    </row>
    <row r="52" spans="2:10" ht="12.75" customHeight="1" x14ac:dyDescent="0.2">
      <c r="B52" s="245"/>
      <c r="C52" s="246"/>
      <c r="D52" s="246"/>
      <c r="E52" s="246"/>
      <c r="F52" s="246"/>
      <c r="G52" s="246"/>
      <c r="H52" s="246"/>
      <c r="I52" s="246"/>
      <c r="J52" s="247"/>
    </row>
    <row r="53" spans="2:10" ht="12.75" customHeight="1" thickBot="1" x14ac:dyDescent="0.25">
      <c r="B53" s="248"/>
      <c r="C53" s="249"/>
      <c r="D53" s="249"/>
      <c r="E53" s="249"/>
      <c r="F53" s="249"/>
      <c r="G53" s="249"/>
      <c r="H53" s="249"/>
      <c r="I53" s="249"/>
      <c r="J53" s="250"/>
    </row>
    <row r="54" spans="2:10" x14ac:dyDescent="0.2">
      <c r="B54" s="98" t="s">
        <v>97</v>
      </c>
      <c r="C54" s="101">
        <v>5</v>
      </c>
      <c r="D54" s="101">
        <v>1</v>
      </c>
      <c r="E54" s="100">
        <v>2025</v>
      </c>
      <c r="F54" s="97"/>
    </row>
    <row r="55" spans="2:10" x14ac:dyDescent="0.2">
      <c r="B55" s="21" t="s">
        <v>70</v>
      </c>
      <c r="C55" s="34" t="s">
        <v>171</v>
      </c>
      <c r="D55" s="34" t="s">
        <v>118</v>
      </c>
      <c r="E55" s="34" t="s">
        <v>119</v>
      </c>
    </row>
    <row r="59" spans="2:10" x14ac:dyDescent="0.2">
      <c r="B59" s="238" t="s">
        <v>98</v>
      </c>
      <c r="C59" s="238"/>
      <c r="D59" s="238"/>
      <c r="E59" s="238"/>
      <c r="F59" s="238"/>
      <c r="G59" s="49"/>
      <c r="H59" s="238" t="s">
        <v>99</v>
      </c>
      <c r="I59" s="238"/>
      <c r="J59" s="46"/>
    </row>
    <row r="60" spans="2:10" x14ac:dyDescent="0.2">
      <c r="B60" s="239" t="s">
        <v>338</v>
      </c>
      <c r="C60" s="240"/>
      <c r="D60" s="240"/>
      <c r="E60" s="240"/>
      <c r="F60" s="241"/>
      <c r="G60" s="49"/>
      <c r="H60" s="239" t="s">
        <v>364</v>
      </c>
      <c r="I60" s="240"/>
      <c r="J60" s="241"/>
    </row>
    <row r="61" spans="2:10" x14ac:dyDescent="0.2">
      <c r="B61" s="238" t="s">
        <v>100</v>
      </c>
      <c r="C61" s="238"/>
      <c r="D61" s="238"/>
      <c r="E61" s="238"/>
      <c r="F61" s="238"/>
      <c r="G61" s="49"/>
      <c r="H61" s="238" t="s">
        <v>100</v>
      </c>
      <c r="I61" s="238"/>
      <c r="J61" s="46"/>
    </row>
  </sheetData>
  <mergeCells count="15">
    <mergeCell ref="B59:F59"/>
    <mergeCell ref="H59:I59"/>
    <mergeCell ref="B60:F60"/>
    <mergeCell ref="B61:F61"/>
    <mergeCell ref="H61:I61"/>
    <mergeCell ref="H60:J60"/>
    <mergeCell ref="B3:J3"/>
    <mergeCell ref="B4:J4"/>
    <mergeCell ref="B5:J5"/>
    <mergeCell ref="B7:J7"/>
    <mergeCell ref="B13:J53"/>
    <mergeCell ref="C9:E9"/>
    <mergeCell ref="C10:E10"/>
    <mergeCell ref="H10:J10"/>
    <mergeCell ref="H9:J9"/>
  </mergeCells>
  <dataValidations count="3">
    <dataValidation type="list" allowBlank="1" showInputMessage="1" showErrorMessage="1" sqref="E11 J11 E54" xr:uid="{00000000-0002-0000-0400-000000000000}">
      <formula1>AÑO</formula1>
    </dataValidation>
    <dataValidation type="list" allowBlank="1" showInputMessage="1" showErrorMessage="1" sqref="D11 I11 D54" xr:uid="{00000000-0002-0000-0400-000001000000}">
      <formula1>MES</formula1>
    </dataValidation>
    <dataValidation type="list" allowBlank="1" showInputMessage="1" showErrorMessage="1" sqref="C11 H11 C54" xr:uid="{00000000-0002-0000-0400-000002000000}">
      <formula1>DIA</formula1>
    </dataValidation>
  </dataValidations>
  <pageMargins left="0.70866141732283472" right="0.70866141732283472" top="0.74803149606299213" bottom="0.74803149606299213" header="0.31496062992125984" footer="0.31496062992125984"/>
  <pageSetup scale="65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B3"/>
  <sheetViews>
    <sheetView zoomScale="85" zoomScaleNormal="85" workbookViewId="0">
      <selection activeCell="B3" sqref="B3"/>
    </sheetView>
  </sheetViews>
  <sheetFormatPr baseColWidth="10" defaultColWidth="11.42578125" defaultRowHeight="15" x14ac:dyDescent="0.25"/>
  <cols>
    <col min="1" max="1" width="18.7109375" style="107" customWidth="1"/>
    <col min="2" max="2" width="26" style="107" customWidth="1"/>
    <col min="3" max="3" width="20.5703125" style="107" bestFit="1" customWidth="1"/>
    <col min="4" max="4" width="16.85546875" style="107" customWidth="1"/>
    <col min="5" max="5" width="15.5703125" style="107" bestFit="1" customWidth="1"/>
    <col min="6" max="6" width="21.140625" style="107" customWidth="1"/>
    <col min="7" max="7" width="18.140625" style="107" customWidth="1"/>
    <col min="8" max="52" width="11.42578125" style="107"/>
    <col min="53" max="53" width="23.42578125" style="107" customWidth="1"/>
    <col min="54" max="54" width="14.140625" style="107" customWidth="1"/>
    <col min="55" max="16384" width="11.42578125" style="107"/>
  </cols>
  <sheetData>
    <row r="1" spans="1:80" x14ac:dyDescent="0.25">
      <c r="BB1" s="102">
        <v>1</v>
      </c>
      <c r="BC1" s="103">
        <v>2</v>
      </c>
      <c r="BD1" s="103">
        <v>3</v>
      </c>
      <c r="BE1" s="102">
        <v>4</v>
      </c>
      <c r="BF1" s="103">
        <v>5</v>
      </c>
      <c r="BG1" s="103">
        <v>6</v>
      </c>
      <c r="BH1" s="102">
        <v>7</v>
      </c>
      <c r="BI1" s="103">
        <v>8</v>
      </c>
      <c r="BJ1" s="103">
        <v>9</v>
      </c>
      <c r="BK1" s="102">
        <v>10</v>
      </c>
      <c r="BL1" s="103">
        <v>11</v>
      </c>
      <c r="BM1" s="103">
        <v>12</v>
      </c>
      <c r="BN1" s="102">
        <v>13</v>
      </c>
      <c r="BO1" s="103">
        <v>14</v>
      </c>
      <c r="BP1" s="103">
        <v>15</v>
      </c>
      <c r="BQ1" s="102">
        <v>16</v>
      </c>
      <c r="BR1" s="103">
        <v>17</v>
      </c>
      <c r="BS1" s="103">
        <v>18</v>
      </c>
      <c r="BT1" s="102">
        <v>19</v>
      </c>
      <c r="BU1" s="103">
        <v>20</v>
      </c>
      <c r="BV1" s="103">
        <v>21</v>
      </c>
      <c r="BW1" s="102">
        <v>22</v>
      </c>
      <c r="BX1" s="103">
        <v>23</v>
      </c>
      <c r="BY1" s="103">
        <v>24</v>
      </c>
      <c r="BZ1" s="102">
        <v>25</v>
      </c>
    </row>
    <row r="2" spans="1:80" s="102" customFormat="1" ht="46.5" customHeight="1" x14ac:dyDescent="0.25">
      <c r="A2" s="103" t="s">
        <v>168</v>
      </c>
      <c r="B2" s="103" t="s">
        <v>169</v>
      </c>
      <c r="C2" s="104" t="s">
        <v>159</v>
      </c>
      <c r="D2" s="104" t="s">
        <v>156</v>
      </c>
      <c r="E2" s="104" t="s">
        <v>157</v>
      </c>
      <c r="F2" s="104" t="s">
        <v>114</v>
      </c>
      <c r="G2" s="104" t="s">
        <v>158</v>
      </c>
      <c r="H2" s="105" t="s">
        <v>256</v>
      </c>
      <c r="I2" s="105" t="s">
        <v>160</v>
      </c>
      <c r="J2" s="105" t="s">
        <v>161</v>
      </c>
      <c r="K2" s="105" t="s">
        <v>162</v>
      </c>
      <c r="L2" s="105" t="s">
        <v>163</v>
      </c>
      <c r="M2" s="105" t="s">
        <v>164</v>
      </c>
      <c r="N2" s="105" t="s">
        <v>27</v>
      </c>
      <c r="O2" s="105" t="s">
        <v>256</v>
      </c>
      <c r="P2" s="105" t="s">
        <v>160</v>
      </c>
      <c r="Q2" s="105" t="s">
        <v>161</v>
      </c>
      <c r="R2" s="105" t="s">
        <v>162</v>
      </c>
      <c r="S2" s="105" t="s">
        <v>163</v>
      </c>
      <c r="T2" s="105" t="s">
        <v>164</v>
      </c>
      <c r="U2" s="105" t="s">
        <v>27</v>
      </c>
      <c r="V2" s="105" t="s">
        <v>43</v>
      </c>
      <c r="W2" s="105" t="s">
        <v>256</v>
      </c>
      <c r="X2" s="105" t="s">
        <v>160</v>
      </c>
      <c r="Y2" s="105" t="s">
        <v>161</v>
      </c>
      <c r="Z2" s="105" t="s">
        <v>162</v>
      </c>
      <c r="AA2" s="105" t="s">
        <v>163</v>
      </c>
      <c r="AB2" s="105" t="s">
        <v>164</v>
      </c>
      <c r="AC2" s="105" t="s">
        <v>27</v>
      </c>
      <c r="AD2" s="105" t="s">
        <v>256</v>
      </c>
      <c r="AE2" s="105" t="s">
        <v>160</v>
      </c>
      <c r="AF2" s="105" t="s">
        <v>161</v>
      </c>
      <c r="AG2" s="105" t="s">
        <v>162</v>
      </c>
      <c r="AH2" s="105" t="s">
        <v>163</v>
      </c>
      <c r="AI2" s="105" t="s">
        <v>164</v>
      </c>
      <c r="AJ2" s="105" t="s">
        <v>27</v>
      </c>
      <c r="AK2" s="105" t="s">
        <v>165</v>
      </c>
      <c r="AL2" s="105" t="s">
        <v>256</v>
      </c>
      <c r="AM2" s="105" t="s">
        <v>160</v>
      </c>
      <c r="AN2" s="105" t="s">
        <v>161</v>
      </c>
      <c r="AO2" s="105" t="s">
        <v>162</v>
      </c>
      <c r="AP2" s="105" t="s">
        <v>163</v>
      </c>
      <c r="AQ2" s="105" t="s">
        <v>164</v>
      </c>
      <c r="AR2" s="105" t="s">
        <v>27</v>
      </c>
      <c r="AS2" s="105" t="s">
        <v>256</v>
      </c>
      <c r="AT2" s="105" t="s">
        <v>160</v>
      </c>
      <c r="AU2" s="105" t="s">
        <v>161</v>
      </c>
      <c r="AV2" s="105" t="s">
        <v>162</v>
      </c>
      <c r="AW2" s="105" t="s">
        <v>163</v>
      </c>
      <c r="AX2" s="105" t="s">
        <v>164</v>
      </c>
      <c r="AY2" s="105" t="s">
        <v>27</v>
      </c>
      <c r="AZ2" s="105" t="s">
        <v>166</v>
      </c>
      <c r="BA2" s="102" t="s">
        <v>167</v>
      </c>
      <c r="BB2" s="106" t="s">
        <v>170</v>
      </c>
      <c r="BC2" s="106" t="s">
        <v>170</v>
      </c>
      <c r="BD2" s="106" t="s">
        <v>170</v>
      </c>
      <c r="BE2" s="106" t="s">
        <v>170</v>
      </c>
      <c r="BF2" s="106" t="s">
        <v>170</v>
      </c>
      <c r="BG2" s="106" t="s">
        <v>170</v>
      </c>
      <c r="BH2" s="106" t="s">
        <v>170</v>
      </c>
      <c r="BI2" s="106" t="s">
        <v>170</v>
      </c>
      <c r="BJ2" s="106" t="s">
        <v>170</v>
      </c>
      <c r="BK2" s="106" t="s">
        <v>170</v>
      </c>
      <c r="BL2" s="106" t="s">
        <v>170</v>
      </c>
      <c r="BM2" s="106" t="s">
        <v>170</v>
      </c>
      <c r="BN2" s="106" t="s">
        <v>170</v>
      </c>
      <c r="BO2" s="106" t="s">
        <v>170</v>
      </c>
      <c r="BP2" s="106" t="s">
        <v>170</v>
      </c>
      <c r="BQ2" s="106" t="s">
        <v>170</v>
      </c>
      <c r="BR2" s="106" t="s">
        <v>170</v>
      </c>
      <c r="BS2" s="106" t="s">
        <v>170</v>
      </c>
      <c r="BT2" s="106" t="s">
        <v>170</v>
      </c>
      <c r="BU2" s="106" t="s">
        <v>170</v>
      </c>
      <c r="BV2" s="106" t="s">
        <v>170</v>
      </c>
      <c r="BW2" s="106" t="s">
        <v>170</v>
      </c>
      <c r="BX2" s="106" t="s">
        <v>170</v>
      </c>
      <c r="BY2" s="106" t="s">
        <v>170</v>
      </c>
      <c r="BZ2" s="106" t="s">
        <v>170</v>
      </c>
      <c r="CA2" s="103"/>
      <c r="CB2" s="106"/>
    </row>
    <row r="3" spans="1:80" x14ac:dyDescent="0.25">
      <c r="A3" s="107" t="str">
        <f>INF_INICIAL!F13</f>
        <v>OTRAS</v>
      </c>
      <c r="B3" s="111">
        <f>MAX(VARIABLES!AB14:AB500)</f>
        <v>45656</v>
      </c>
      <c r="C3" s="110" t="str">
        <f>INF_INICIAL!G18</f>
        <v>AMIGDALITIS</v>
      </c>
      <c r="D3" s="110" t="str">
        <f>CONCATENATE(LISTADO_NOM!C9,"/",LISTADO_NOM!D9,"/",LISTADO_NOM!E9)</f>
        <v>30/12/2024</v>
      </c>
      <c r="E3" s="110" t="str">
        <f>LISTADO_NOM!C7</f>
        <v>JUR 14 TEPEJI</v>
      </c>
      <c r="F3" s="110" t="str">
        <f>LISTADO_NOM!I7</f>
        <v>63 TEPEJI DEL RIO DE OCAMPO</v>
      </c>
      <c r="G3" s="110" t="str">
        <f>LISTADO_NOM!I8</f>
        <v>LA LOMA</v>
      </c>
      <c r="H3" s="110">
        <f>COUNTIFS(Sexo_LN,"M",Edad,"&lt;"&amp;1,NOTIFICACION,0)</f>
        <v>0</v>
      </c>
      <c r="I3" s="110">
        <f>COUNTIFS(Sexo_LN,"M",Edad,"&gt;="&amp;1,Edad,"&lt;="&amp;4,NOTIFICACION,0)</f>
        <v>0</v>
      </c>
      <c r="J3" s="110">
        <f>COUNTIFS(Sexo_LN,"M",Edad,"&gt;="&amp;5,Edad,"&lt;="&amp;14,NOTIFICACION,0)</f>
        <v>0</v>
      </c>
      <c r="K3" s="110">
        <f>COUNTIFS(Sexo_LN,"M",Edad,"&gt;="&amp;15,Edad,"&lt;="&amp;24,NOTIFICACION,0)</f>
        <v>0</v>
      </c>
      <c r="L3" s="110">
        <f>COUNTIFS(Sexo_LN,"M",Edad,"&gt;="&amp;25,Edad,"&lt;="&amp;44,NOTIFICACION,0)</f>
        <v>0</v>
      </c>
      <c r="M3" s="110">
        <f>COUNTIFS(Sexo_LN,"M",Edad,"&gt;="&amp;45,Edad,"&lt;="&amp;64,NOTIFICACION,0)</f>
        <v>0</v>
      </c>
      <c r="N3" s="110">
        <f>COUNTIFS(Sexo_LN,"M",Edad,"&gt;="&amp;65,NOTIFICACION,0)</f>
        <v>0</v>
      </c>
      <c r="O3" s="110">
        <f>COUNTIFS(Sexo_LN,"F",Edad,"&lt;"&amp;1,NOTIFICACION,0)</f>
        <v>0</v>
      </c>
      <c r="P3" s="110">
        <f>COUNTIFS(Sexo_LN,"F",Edad,"&gt;="&amp;1,Edad,"&lt;="&amp;4,NOTIFICACION,0)</f>
        <v>0</v>
      </c>
      <c r="Q3" s="110">
        <f>COUNTIFS(Sexo_LN,"F",Edad,"&gt;="&amp;5,Edad,"&lt;="&amp;14,NOTIFICACION,0)</f>
        <v>0</v>
      </c>
      <c r="R3" s="110">
        <f>COUNTIFS(Sexo_LN,"F",Edad,"&gt;="&amp;15,Edad,"&lt;="&amp;24,NOTIFICACION,0)</f>
        <v>0</v>
      </c>
      <c r="S3" s="110">
        <f>COUNTIFS(Sexo_LN,"F",Edad,"&gt;="&amp;25,Edad,"&lt;="&amp;44,NOTIFICACION,0)</f>
        <v>0</v>
      </c>
      <c r="T3" s="110">
        <f>COUNTIFS(Sexo_LN,"F",Edad,"&gt;="&amp;45,Edad,"&lt;="&amp;64,NOTIFICACION,0)</f>
        <v>0</v>
      </c>
      <c r="U3" s="110">
        <f>COUNTIFS(Sexo_LN,"F",Edad,"&gt;="&amp;65,NOTIFICACION,0)</f>
        <v>0</v>
      </c>
      <c r="V3" s="110">
        <f>SUM(H3:U3)</f>
        <v>0</v>
      </c>
      <c r="W3" s="110">
        <f>COUNTIFS(Sexo_LN,"M",Edad,"&lt;"&amp;1,NOTIFICACION,"&lt;&gt;"&amp;0)</f>
        <v>0</v>
      </c>
      <c r="X3" s="110">
        <f>COUNTIFS(Sexo_LN,"M",Edad,"&gt;="&amp;1,Edad,"&lt;="&amp;4,NOTIFICACION,"&lt;&gt;"&amp;0)</f>
        <v>0</v>
      </c>
      <c r="Y3" s="110">
        <f>COUNTIFS(Sexo_LN,"M",Edad,"&gt;="&amp;5,Edad,"&lt;="&amp;14,NOTIFICACION,"&lt;&gt;"&amp;0)</f>
        <v>1</v>
      </c>
      <c r="Z3" s="110">
        <f>COUNTIFS(Sexo_LN,"M",Edad,"&gt;="&amp;15,Edad,"&lt;="&amp;24,NOTIFICACION,"&lt;&gt;"&amp;0)</f>
        <v>0</v>
      </c>
      <c r="AA3" s="110">
        <f>COUNTIFS(Sexo_LN,"M",Edad,"&gt;="&amp;25,Edad,"&lt;="&amp;44,NOTIFICACION,"&lt;&gt;"&amp;0)</f>
        <v>0</v>
      </c>
      <c r="AB3" s="110">
        <f>COUNTIFS(Sexo_LN,"M",Edad,"&gt;="&amp;45,Edad,"&lt;="&amp;64,NOTIFICACION,"&lt;&gt;"&amp;0)</f>
        <v>0</v>
      </c>
      <c r="AC3" s="110">
        <f>COUNTIFS(Sexo_LN,"M",Edad,"&gt;="&amp;65,NOTIFICACION,"&lt;&gt;"&amp;0)</f>
        <v>0</v>
      </c>
      <c r="AD3" s="110">
        <f>COUNTIFS(Sexo_LN,"F",Edad,"&lt;"&amp;1,NOTIFICACION,"&lt;&gt;"&amp;0)</f>
        <v>0</v>
      </c>
      <c r="AE3" s="110">
        <f>COUNTIFS(Sexo_LN,"F",Edad,"&gt;="&amp;1,Edad,"&lt;="&amp;4,NOTIFICACION,"&lt;&gt;"&amp;0)</f>
        <v>1</v>
      </c>
      <c r="AF3" s="110">
        <f>COUNTIFS(Sexo_LN,"F",Edad,"&gt;="&amp;5,Edad,"&lt;="&amp;14,NOTIFICACION,"&lt;&gt;"&amp;0)</f>
        <v>0</v>
      </c>
      <c r="AG3" s="110">
        <f>COUNTIFS(Sexo_LN,"F",Edad,"&gt;="&amp;15,Edad,"&lt;="&amp;24,NOTIFICACION,"&lt;&gt;"&amp;0)</f>
        <v>0</v>
      </c>
      <c r="AH3" s="110">
        <f>COUNTIFS(Sexo_LN,"F",Edad,"&gt;="&amp;25,Edad,"&lt;="&amp;44,NOTIFICACION,"&lt;&gt;"&amp;0)</f>
        <v>0</v>
      </c>
      <c r="AI3" s="110">
        <f>COUNTIFS(Sexo_LN,"F",Edad,"&gt;="&amp;45,Edad,"&lt;="&amp;64,NOTIFICACION,"&lt;&gt;"&amp;0)</f>
        <v>0</v>
      </c>
      <c r="AJ3" s="110">
        <f>COUNTIFS(Sexo_LN,"F",Edad,"&gt;="&amp;65,NOTIFICACION,"&lt;&gt;"&amp;0)</f>
        <v>0</v>
      </c>
      <c r="AK3" s="110">
        <f>SUM(W3:AJ3)</f>
        <v>2</v>
      </c>
      <c r="AL3" s="110">
        <f t="shared" ref="AL3:AR3" si="0">W3+H3</f>
        <v>0</v>
      </c>
      <c r="AM3" s="110">
        <f t="shared" si="0"/>
        <v>0</v>
      </c>
      <c r="AN3" s="110">
        <f t="shared" si="0"/>
        <v>1</v>
      </c>
      <c r="AO3" s="110">
        <f t="shared" si="0"/>
        <v>0</v>
      </c>
      <c r="AP3" s="110">
        <f t="shared" si="0"/>
        <v>0</v>
      </c>
      <c r="AQ3" s="110">
        <f t="shared" si="0"/>
        <v>0</v>
      </c>
      <c r="AR3" s="110">
        <f t="shared" si="0"/>
        <v>0</v>
      </c>
      <c r="AS3" s="110">
        <f>O3+AD3</f>
        <v>0</v>
      </c>
      <c r="AT3" s="110">
        <f t="shared" ref="AT3:AY3" si="1">P3+AE3</f>
        <v>1</v>
      </c>
      <c r="AU3" s="110">
        <f t="shared" si="1"/>
        <v>0</v>
      </c>
      <c r="AV3" s="110">
        <f t="shared" si="1"/>
        <v>0</v>
      </c>
      <c r="AW3" s="110">
        <f t="shared" si="1"/>
        <v>0</v>
      </c>
      <c r="AX3" s="110">
        <f t="shared" si="1"/>
        <v>0</v>
      </c>
      <c r="AY3" s="110">
        <f t="shared" si="1"/>
        <v>0</v>
      </c>
      <c r="AZ3" s="110">
        <f>SUM(AL3:AY3)</f>
        <v>2</v>
      </c>
      <c r="BA3" s="107" t="str">
        <f>LISTADO_NOM!C8</f>
        <v>FAMILIAR</v>
      </c>
      <c r="BB3" s="107">
        <f t="shared" ref="BB3:BZ3" si="2">COUNTIF(NOTIFICACION,BB1)</f>
        <v>0</v>
      </c>
      <c r="BC3" s="107">
        <f t="shared" si="2"/>
        <v>0</v>
      </c>
      <c r="BD3" s="107">
        <f t="shared" si="2"/>
        <v>0</v>
      </c>
      <c r="BE3" s="107">
        <f t="shared" si="2"/>
        <v>0</v>
      </c>
      <c r="BF3" s="107">
        <f t="shared" si="2"/>
        <v>0</v>
      </c>
      <c r="BG3" s="107">
        <f t="shared" si="2"/>
        <v>0</v>
      </c>
      <c r="BH3" s="107">
        <f t="shared" si="2"/>
        <v>0</v>
      </c>
      <c r="BI3" s="107">
        <f t="shared" si="2"/>
        <v>0</v>
      </c>
      <c r="BJ3" s="107">
        <f t="shared" si="2"/>
        <v>0</v>
      </c>
      <c r="BK3" s="107">
        <f t="shared" si="2"/>
        <v>0</v>
      </c>
      <c r="BL3" s="107">
        <f t="shared" si="2"/>
        <v>0</v>
      </c>
      <c r="BM3" s="107">
        <f t="shared" si="2"/>
        <v>0</v>
      </c>
      <c r="BN3" s="107">
        <f t="shared" si="2"/>
        <v>0</v>
      </c>
      <c r="BO3" s="107">
        <f t="shared" si="2"/>
        <v>0</v>
      </c>
      <c r="BP3" s="107">
        <f t="shared" si="2"/>
        <v>0</v>
      </c>
      <c r="BQ3" s="107">
        <f t="shared" si="2"/>
        <v>0</v>
      </c>
      <c r="BR3" s="107">
        <f t="shared" si="2"/>
        <v>0</v>
      </c>
      <c r="BS3" s="107">
        <f t="shared" si="2"/>
        <v>0</v>
      </c>
      <c r="BT3" s="107">
        <f t="shared" si="2"/>
        <v>0</v>
      </c>
      <c r="BU3" s="107">
        <f t="shared" si="2"/>
        <v>0</v>
      </c>
      <c r="BV3" s="107">
        <f t="shared" si="2"/>
        <v>0</v>
      </c>
      <c r="BW3" s="107">
        <f t="shared" si="2"/>
        <v>0</v>
      </c>
      <c r="BX3" s="107">
        <f t="shared" si="2"/>
        <v>0</v>
      </c>
      <c r="BY3" s="107">
        <f t="shared" si="2"/>
        <v>0</v>
      </c>
      <c r="BZ3" s="107">
        <f t="shared" si="2"/>
        <v>0</v>
      </c>
    </row>
  </sheetData>
  <dataValidations disablePrompts="1" count="1">
    <dataValidation type="list" allowBlank="1" showInputMessage="1" showErrorMessage="1" sqref="F2" xr:uid="{00000000-0002-0000-0500-000000000000}">
      <formula1>MPIO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E1000"/>
  <sheetViews>
    <sheetView topLeftCell="U1" workbookViewId="0">
      <selection activeCell="Z17" sqref="Z17"/>
    </sheetView>
  </sheetViews>
  <sheetFormatPr baseColWidth="10" defaultRowHeight="15" x14ac:dyDescent="0.25"/>
  <cols>
    <col min="3" max="3" width="19.140625" customWidth="1"/>
    <col min="20" max="20" width="44" bestFit="1" customWidth="1"/>
    <col min="21" max="21" width="20.5703125" bestFit="1" customWidth="1"/>
    <col min="23" max="23" width="18.140625" customWidth="1"/>
    <col min="26" max="26" width="12.28515625" customWidth="1"/>
    <col min="27" max="27" width="17" style="88" bestFit="1" customWidth="1"/>
    <col min="28" max="28" width="17" style="88" customWidth="1"/>
  </cols>
  <sheetData>
    <row r="1" spans="1:31" x14ac:dyDescent="0.25">
      <c r="A1" s="63" t="s">
        <v>87</v>
      </c>
      <c r="B1" t="s">
        <v>116</v>
      </c>
      <c r="C1" t="s">
        <v>264</v>
      </c>
      <c r="K1" t="s">
        <v>274</v>
      </c>
      <c r="L1" t="s">
        <v>117</v>
      </c>
      <c r="M1" t="s">
        <v>118</v>
      </c>
      <c r="N1" t="s">
        <v>119</v>
      </c>
      <c r="O1" t="s">
        <v>120</v>
      </c>
      <c r="P1" t="s">
        <v>121</v>
      </c>
      <c r="Q1" s="63" t="s">
        <v>111</v>
      </c>
      <c r="T1" t="s">
        <v>172</v>
      </c>
      <c r="U1" t="s">
        <v>306</v>
      </c>
    </row>
    <row r="2" spans="1:31" ht="18.75" x14ac:dyDescent="0.3">
      <c r="A2">
        <v>0.01</v>
      </c>
      <c r="B2">
        <v>0</v>
      </c>
      <c r="C2" t="s">
        <v>122</v>
      </c>
      <c r="D2">
        <v>0</v>
      </c>
      <c r="K2">
        <v>1</v>
      </c>
      <c r="L2">
        <v>1</v>
      </c>
      <c r="M2">
        <v>1</v>
      </c>
      <c r="N2">
        <v>2018</v>
      </c>
      <c r="O2" t="s">
        <v>123</v>
      </c>
      <c r="P2" t="s">
        <v>172</v>
      </c>
      <c r="Q2" s="63" t="s">
        <v>124</v>
      </c>
      <c r="T2" t="s">
        <v>173</v>
      </c>
      <c r="U2" t="s">
        <v>307</v>
      </c>
      <c r="W2" t="s">
        <v>150</v>
      </c>
      <c r="AE2" s="89"/>
    </row>
    <row r="3" spans="1:31" x14ac:dyDescent="0.25">
      <c r="A3">
        <v>0.02</v>
      </c>
      <c r="B3">
        <v>1</v>
      </c>
      <c r="C3" t="s">
        <v>275</v>
      </c>
      <c r="D3">
        <v>1</v>
      </c>
      <c r="K3">
        <v>2</v>
      </c>
      <c r="L3">
        <v>2</v>
      </c>
      <c r="M3">
        <v>2</v>
      </c>
      <c r="N3">
        <v>2019</v>
      </c>
      <c r="O3" t="s">
        <v>125</v>
      </c>
      <c r="P3" t="s">
        <v>173</v>
      </c>
      <c r="Q3" s="63" t="s">
        <v>126</v>
      </c>
      <c r="T3" t="s">
        <v>174</v>
      </c>
      <c r="U3" t="s">
        <v>308</v>
      </c>
      <c r="W3" t="s">
        <v>113</v>
      </c>
      <c r="X3" t="s">
        <v>265</v>
      </c>
    </row>
    <row r="4" spans="1:31" x14ac:dyDescent="0.25">
      <c r="A4">
        <v>0.03</v>
      </c>
      <c r="C4" t="s">
        <v>276</v>
      </c>
      <c r="D4">
        <v>2</v>
      </c>
      <c r="K4">
        <v>3</v>
      </c>
      <c r="L4">
        <v>3</v>
      </c>
      <c r="M4">
        <v>3</v>
      </c>
      <c r="N4">
        <v>2020</v>
      </c>
      <c r="O4" t="s">
        <v>127</v>
      </c>
      <c r="P4" t="s">
        <v>174</v>
      </c>
      <c r="Q4" s="63" t="s">
        <v>128</v>
      </c>
      <c r="T4" t="s">
        <v>175</v>
      </c>
      <c r="U4" t="s">
        <v>307</v>
      </c>
      <c r="W4" t="s">
        <v>152</v>
      </c>
      <c r="X4" t="s">
        <v>266</v>
      </c>
    </row>
    <row r="5" spans="1:31" x14ac:dyDescent="0.25">
      <c r="A5">
        <v>0.04</v>
      </c>
      <c r="C5" t="s">
        <v>277</v>
      </c>
      <c r="D5">
        <v>3</v>
      </c>
      <c r="K5">
        <v>4</v>
      </c>
      <c r="L5">
        <v>4</v>
      </c>
      <c r="M5">
        <v>4</v>
      </c>
      <c r="N5">
        <v>2021</v>
      </c>
      <c r="O5" t="s">
        <v>129</v>
      </c>
      <c r="P5" t="s">
        <v>175</v>
      </c>
      <c r="Q5" s="63" t="s">
        <v>130</v>
      </c>
      <c r="T5" t="s">
        <v>176</v>
      </c>
      <c r="U5" t="s">
        <v>309</v>
      </c>
      <c r="W5" t="s">
        <v>153</v>
      </c>
      <c r="X5" t="s">
        <v>267</v>
      </c>
    </row>
    <row r="6" spans="1:31" x14ac:dyDescent="0.25">
      <c r="A6">
        <v>0.05</v>
      </c>
      <c r="C6" t="s">
        <v>278</v>
      </c>
      <c r="D6">
        <v>4</v>
      </c>
      <c r="K6">
        <v>5</v>
      </c>
      <c r="L6">
        <v>5</v>
      </c>
      <c r="M6">
        <v>5</v>
      </c>
      <c r="N6">
        <v>2022</v>
      </c>
      <c r="O6" t="s">
        <v>131</v>
      </c>
      <c r="P6" t="s">
        <v>176</v>
      </c>
      <c r="Q6" s="63" t="s">
        <v>132</v>
      </c>
      <c r="T6" t="s">
        <v>177</v>
      </c>
      <c r="U6" t="s">
        <v>310</v>
      </c>
      <c r="W6" t="s">
        <v>154</v>
      </c>
      <c r="X6" t="s">
        <v>268</v>
      </c>
    </row>
    <row r="7" spans="1:31" x14ac:dyDescent="0.25">
      <c r="A7">
        <v>0.06</v>
      </c>
      <c r="C7" t="s">
        <v>279</v>
      </c>
      <c r="D7">
        <v>5</v>
      </c>
      <c r="K7">
        <v>6</v>
      </c>
      <c r="L7">
        <v>6</v>
      </c>
      <c r="M7">
        <v>6</v>
      </c>
      <c r="N7">
        <v>2023</v>
      </c>
      <c r="O7" t="s">
        <v>133</v>
      </c>
      <c r="P7" t="s">
        <v>177</v>
      </c>
      <c r="Q7" s="63" t="s">
        <v>134</v>
      </c>
      <c r="T7" t="s">
        <v>178</v>
      </c>
      <c r="U7" t="s">
        <v>311</v>
      </c>
      <c r="W7" t="s">
        <v>115</v>
      </c>
      <c r="X7" t="s">
        <v>323</v>
      </c>
    </row>
    <row r="8" spans="1:31" x14ac:dyDescent="0.25">
      <c r="A8">
        <v>7.0000000000000007E-2</v>
      </c>
      <c r="C8" t="s">
        <v>280</v>
      </c>
      <c r="D8">
        <v>6</v>
      </c>
      <c r="K8">
        <v>7</v>
      </c>
      <c r="L8">
        <v>7</v>
      </c>
      <c r="M8">
        <v>7</v>
      </c>
      <c r="N8">
        <v>2024</v>
      </c>
      <c r="O8" t="s">
        <v>135</v>
      </c>
      <c r="P8" t="s">
        <v>178</v>
      </c>
      <c r="Q8" s="63" t="s">
        <v>136</v>
      </c>
      <c r="T8" t="s">
        <v>179</v>
      </c>
      <c r="U8" t="s">
        <v>311</v>
      </c>
      <c r="X8" t="s">
        <v>269</v>
      </c>
    </row>
    <row r="9" spans="1:31" x14ac:dyDescent="0.25">
      <c r="A9">
        <v>0.08</v>
      </c>
      <c r="C9" t="s">
        <v>281</v>
      </c>
      <c r="D9">
        <v>7</v>
      </c>
      <c r="K9">
        <v>8</v>
      </c>
      <c r="L9">
        <v>8</v>
      </c>
      <c r="M9">
        <v>8</v>
      </c>
      <c r="N9">
        <v>2025</v>
      </c>
      <c r="O9" t="s">
        <v>137</v>
      </c>
      <c r="P9" t="s">
        <v>179</v>
      </c>
      <c r="Q9" s="63" t="s">
        <v>138</v>
      </c>
      <c r="T9" t="s">
        <v>180</v>
      </c>
      <c r="U9" t="s">
        <v>308</v>
      </c>
      <c r="X9" t="s">
        <v>270</v>
      </c>
    </row>
    <row r="10" spans="1:31" x14ac:dyDescent="0.25">
      <c r="A10">
        <v>0.09</v>
      </c>
      <c r="C10" t="s">
        <v>282</v>
      </c>
      <c r="D10">
        <v>8</v>
      </c>
      <c r="K10">
        <v>9</v>
      </c>
      <c r="L10">
        <v>9</v>
      </c>
      <c r="M10">
        <v>9</v>
      </c>
      <c r="N10">
        <v>2026</v>
      </c>
      <c r="O10" t="s">
        <v>139</v>
      </c>
      <c r="P10" t="s">
        <v>180</v>
      </c>
      <c r="T10" t="s">
        <v>181</v>
      </c>
      <c r="U10" t="s">
        <v>309</v>
      </c>
      <c r="X10" t="s">
        <v>158</v>
      </c>
    </row>
    <row r="11" spans="1:31" x14ac:dyDescent="0.25">
      <c r="A11" s="64">
        <v>0.1</v>
      </c>
      <c r="C11" t="s">
        <v>283</v>
      </c>
      <c r="D11">
        <v>9</v>
      </c>
      <c r="K11">
        <v>10</v>
      </c>
      <c r="L11">
        <v>10</v>
      </c>
      <c r="M11">
        <v>10</v>
      </c>
      <c r="N11">
        <v>2027</v>
      </c>
      <c r="O11" t="s">
        <v>140</v>
      </c>
      <c r="P11" t="s">
        <v>181</v>
      </c>
      <c r="T11" t="s">
        <v>182</v>
      </c>
      <c r="U11" t="s">
        <v>312</v>
      </c>
      <c r="X11" t="s">
        <v>271</v>
      </c>
    </row>
    <row r="12" spans="1:31" x14ac:dyDescent="0.25">
      <c r="A12">
        <v>0.11</v>
      </c>
      <c r="C12" t="s">
        <v>284</v>
      </c>
      <c r="D12">
        <v>10</v>
      </c>
      <c r="K12">
        <v>11</v>
      </c>
      <c r="L12">
        <v>11</v>
      </c>
      <c r="M12">
        <v>11</v>
      </c>
      <c r="N12">
        <v>2028</v>
      </c>
      <c r="O12" t="s">
        <v>141</v>
      </c>
      <c r="P12" t="s">
        <v>182</v>
      </c>
      <c r="T12" t="s">
        <v>183</v>
      </c>
      <c r="U12" t="s">
        <v>306</v>
      </c>
    </row>
    <row r="13" spans="1:31" x14ac:dyDescent="0.25">
      <c r="A13">
        <v>1</v>
      </c>
      <c r="C13" t="s">
        <v>285</v>
      </c>
      <c r="D13">
        <v>11</v>
      </c>
      <c r="K13">
        <v>12</v>
      </c>
      <c r="L13">
        <v>12</v>
      </c>
      <c r="M13">
        <v>12</v>
      </c>
      <c r="N13">
        <v>2029</v>
      </c>
      <c r="O13" t="s">
        <v>142</v>
      </c>
      <c r="P13" t="s">
        <v>183</v>
      </c>
      <c r="T13" t="s">
        <v>184</v>
      </c>
      <c r="U13" t="s">
        <v>309</v>
      </c>
      <c r="AA13" s="88" t="s">
        <v>273</v>
      </c>
      <c r="AB13" s="88" t="s">
        <v>272</v>
      </c>
      <c r="AC13" t="s">
        <v>155</v>
      </c>
      <c r="AD13">
        <f>COUNT(AB14:AB300)</f>
        <v>1</v>
      </c>
    </row>
    <row r="14" spans="1:31" x14ac:dyDescent="0.25">
      <c r="A14">
        <v>2</v>
      </c>
      <c r="C14" t="s">
        <v>286</v>
      </c>
      <c r="D14">
        <v>12</v>
      </c>
      <c r="K14">
        <v>13</v>
      </c>
      <c r="L14">
        <v>13</v>
      </c>
      <c r="N14">
        <v>2030</v>
      </c>
      <c r="O14" t="s">
        <v>143</v>
      </c>
      <c r="P14" t="s">
        <v>184</v>
      </c>
      <c r="T14" t="s">
        <v>185</v>
      </c>
      <c r="U14" t="s">
        <v>313</v>
      </c>
      <c r="Z14" s="88">
        <f>IF(LISTADO_NOM!K14="","",DATE(LISTADO_NOM!M14,LISTADO_NOM!L14,LISTADO_NOM!K14))</f>
        <v>45656</v>
      </c>
      <c r="AA14" s="88">
        <f>IFERROR(INDEX($Z$14:$Z$300, MATCH(0, INDEX(COUNTIF($AA$13:AA13, $Z$14:$Z$300), 0, 0), 0)), "")</f>
        <v>45656</v>
      </c>
      <c r="AB14" s="88">
        <f t="shared" ref="AB14:AB77" si="0">IF(AA14="","",SMALL(ORDENA_,AC14))</f>
        <v>45656</v>
      </c>
      <c r="AC14">
        <v>1</v>
      </c>
      <c r="AE14">
        <f>IF(LISTADO_NOM!AK14="","",VLOOKUP(LISTADO_NOM!AK14,SEGUIMIENTOS,2,FALSE))</f>
        <v>0</v>
      </c>
    </row>
    <row r="15" spans="1:31" x14ac:dyDescent="0.25">
      <c r="A15">
        <v>3</v>
      </c>
      <c r="C15" t="s">
        <v>287</v>
      </c>
      <c r="D15">
        <v>13</v>
      </c>
      <c r="K15">
        <v>14</v>
      </c>
      <c r="L15">
        <v>14</v>
      </c>
      <c r="N15">
        <v>2031</v>
      </c>
      <c r="O15" t="s">
        <v>144</v>
      </c>
      <c r="P15" t="s">
        <v>185</v>
      </c>
      <c r="T15" t="s">
        <v>186</v>
      </c>
      <c r="U15" t="s">
        <v>310</v>
      </c>
      <c r="Z15" s="88">
        <f>IF(LISTADO_NOM!K15="","",DATE(LISTADO_NOM!M15,LISTADO_NOM!L15,LISTADO_NOM!K15))</f>
        <v>45656</v>
      </c>
      <c r="AA15" s="88" t="str">
        <f>IFERROR(INDEX($Z$14:$Z$300, MATCH(0, INDEX(COUNTIF($AA$13:AA14, $Z$14:$Z$300), 0, 0), 0)), "")</f>
        <v/>
      </c>
      <c r="AB15" s="88" t="str">
        <f t="shared" si="0"/>
        <v/>
      </c>
      <c r="AC15">
        <v>2</v>
      </c>
      <c r="AE15">
        <f>IF(LISTADO_NOM!AK15="","",VLOOKUP(LISTADO_NOM!AK15,SEGUIMIENTOS,2,FALSE))</f>
        <v>0</v>
      </c>
    </row>
    <row r="16" spans="1:31" x14ac:dyDescent="0.25">
      <c r="A16">
        <v>4</v>
      </c>
      <c r="C16" t="s">
        <v>288</v>
      </c>
      <c r="D16">
        <v>14</v>
      </c>
      <c r="K16">
        <v>15</v>
      </c>
      <c r="L16">
        <v>15</v>
      </c>
      <c r="N16">
        <v>2032</v>
      </c>
      <c r="O16" t="s">
        <v>145</v>
      </c>
      <c r="P16" t="s">
        <v>186</v>
      </c>
      <c r="T16" t="s">
        <v>187</v>
      </c>
      <c r="U16" t="s">
        <v>314</v>
      </c>
      <c r="Z16" s="88" t="str">
        <f>IF(LISTADO_NOM!K16="","",DATE(LISTADO_NOM!M16,LISTADO_NOM!L16,LISTADO_NOM!K16))</f>
        <v/>
      </c>
      <c r="AA16" s="88" t="str">
        <f>IFERROR(INDEX($Z$14:$Z$300, MATCH(0, INDEX(COUNTIF($AA$13:AA15, $Z$14:$Z$300), 0, 0), 0)), "")</f>
        <v/>
      </c>
      <c r="AB16" s="88" t="str">
        <f t="shared" si="0"/>
        <v/>
      </c>
      <c r="AC16">
        <v>3</v>
      </c>
      <c r="AE16" t="str">
        <f>IF(LISTADO_NOM!AK16="","",VLOOKUP(LISTADO_NOM!AK16,SEGUIMIENTOS,2,FALSE))</f>
        <v/>
      </c>
    </row>
    <row r="17" spans="1:31" x14ac:dyDescent="0.25">
      <c r="A17">
        <v>5</v>
      </c>
      <c r="C17" t="s">
        <v>289</v>
      </c>
      <c r="D17">
        <v>15</v>
      </c>
      <c r="K17">
        <v>16</v>
      </c>
      <c r="L17">
        <v>16</v>
      </c>
      <c r="O17" t="s">
        <v>146</v>
      </c>
      <c r="P17" t="s">
        <v>187</v>
      </c>
      <c r="T17" t="s">
        <v>188</v>
      </c>
      <c r="U17" t="s">
        <v>315</v>
      </c>
      <c r="Z17" s="88" t="str">
        <f>IF(LISTADO_NOM!K17="","",DATE(LISTADO_NOM!M17,LISTADO_NOM!L17,LISTADO_NOM!K17))</f>
        <v/>
      </c>
      <c r="AA17" s="88" t="str">
        <f>IFERROR(INDEX($Z$14:$Z$300, MATCH(0, INDEX(COUNTIF($AA$13:AA16, $Z$14:$Z$300), 0, 0), 0)), "")</f>
        <v/>
      </c>
      <c r="AB17" s="88" t="str">
        <f t="shared" si="0"/>
        <v/>
      </c>
      <c r="AC17">
        <v>4</v>
      </c>
      <c r="AE17" t="str">
        <f>IF(LISTADO_NOM!AK17="","",VLOOKUP(LISTADO_NOM!AK17,SEGUIMIENTOS,2,FALSE))</f>
        <v/>
      </c>
    </row>
    <row r="18" spans="1:31" x14ac:dyDescent="0.25">
      <c r="A18">
        <v>6</v>
      </c>
      <c r="C18" t="s">
        <v>290</v>
      </c>
      <c r="D18">
        <v>16</v>
      </c>
      <c r="K18">
        <v>17</v>
      </c>
      <c r="L18">
        <v>17</v>
      </c>
      <c r="O18" t="s">
        <v>148</v>
      </c>
      <c r="P18" t="s">
        <v>188</v>
      </c>
      <c r="T18" t="s">
        <v>189</v>
      </c>
      <c r="U18" t="s">
        <v>316</v>
      </c>
      <c r="Z18" s="88" t="str">
        <f>IF(LISTADO_NOM!K18="","",DATE(LISTADO_NOM!M18,LISTADO_NOM!L18,LISTADO_NOM!K18))</f>
        <v/>
      </c>
      <c r="AA18" s="88" t="str">
        <f>IFERROR(INDEX($Z$14:$Z$300, MATCH(0, INDEX(COUNTIF($AA$13:AA17, $Z$14:$Z$300), 0, 0), 0)), "")</f>
        <v/>
      </c>
      <c r="AB18" s="88" t="str">
        <f t="shared" si="0"/>
        <v/>
      </c>
      <c r="AC18">
        <v>5</v>
      </c>
      <c r="AE18" t="str">
        <f>IF(LISTADO_NOM!AK18="","",VLOOKUP(LISTADO_NOM!AK18,SEGUIMIENTOS,2,FALSE))</f>
        <v/>
      </c>
    </row>
    <row r="19" spans="1:31" x14ac:dyDescent="0.25">
      <c r="A19">
        <v>7</v>
      </c>
      <c r="C19" t="s">
        <v>291</v>
      </c>
      <c r="D19">
        <v>17</v>
      </c>
      <c r="K19">
        <v>18</v>
      </c>
      <c r="L19">
        <v>18</v>
      </c>
      <c r="P19" t="s">
        <v>189</v>
      </c>
      <c r="T19" t="s">
        <v>190</v>
      </c>
      <c r="U19" t="s">
        <v>310</v>
      </c>
      <c r="Z19" s="88" t="str">
        <f>IF(LISTADO_NOM!K19="","",DATE(LISTADO_NOM!M19,LISTADO_NOM!L19,LISTADO_NOM!K19))</f>
        <v/>
      </c>
      <c r="AA19" s="88" t="str">
        <f>IFERROR(INDEX($Z$14:$Z$300, MATCH(0, INDEX(COUNTIF($AA$13:AA18, $Z$14:$Z$300), 0, 0), 0)), "")</f>
        <v/>
      </c>
      <c r="AB19" s="88" t="str">
        <f t="shared" si="0"/>
        <v/>
      </c>
      <c r="AC19">
        <v>6</v>
      </c>
      <c r="AE19" t="str">
        <f>IF(LISTADO_NOM!AK19="","",VLOOKUP(LISTADO_NOM!AK19,SEGUIMIENTOS,2,FALSE))</f>
        <v/>
      </c>
    </row>
    <row r="20" spans="1:31" x14ac:dyDescent="0.25">
      <c r="A20">
        <v>8</v>
      </c>
      <c r="C20" t="s">
        <v>292</v>
      </c>
      <c r="D20">
        <v>18</v>
      </c>
      <c r="K20">
        <v>19</v>
      </c>
      <c r="L20">
        <v>19</v>
      </c>
      <c r="P20" t="s">
        <v>190</v>
      </c>
      <c r="T20" t="s">
        <v>249</v>
      </c>
      <c r="U20" t="s">
        <v>317</v>
      </c>
      <c r="Z20" s="88" t="str">
        <f>IF(LISTADO_NOM!K20="","",DATE(LISTADO_NOM!M20,LISTADO_NOM!L20,LISTADO_NOM!K20))</f>
        <v/>
      </c>
      <c r="AA20" s="88" t="str">
        <f>IFERROR(INDEX($Z$14:$Z$300, MATCH(0, INDEX(COUNTIF($AA$13:AA19, $Z$14:$Z$300), 0, 0), 0)), "")</f>
        <v/>
      </c>
      <c r="AB20" s="88" t="str">
        <f t="shared" si="0"/>
        <v/>
      </c>
      <c r="AC20">
        <v>7</v>
      </c>
      <c r="AE20" t="str">
        <f>IF(LISTADO_NOM!AK20="","",VLOOKUP(LISTADO_NOM!AK20,SEGUIMIENTOS,2,FALSE))</f>
        <v/>
      </c>
    </row>
    <row r="21" spans="1:31" x14ac:dyDescent="0.25">
      <c r="A21">
        <v>9</v>
      </c>
      <c r="C21" t="s">
        <v>293</v>
      </c>
      <c r="D21">
        <v>19</v>
      </c>
      <c r="K21">
        <v>20</v>
      </c>
      <c r="L21">
        <v>20</v>
      </c>
      <c r="P21" t="s">
        <v>249</v>
      </c>
      <c r="T21" t="s">
        <v>191</v>
      </c>
      <c r="U21" t="s">
        <v>311</v>
      </c>
      <c r="Z21" s="88" t="str">
        <f>IF(LISTADO_NOM!K21="","",DATE(LISTADO_NOM!M21,LISTADO_NOM!L21,LISTADO_NOM!K21))</f>
        <v/>
      </c>
      <c r="AA21" s="88" t="str">
        <f>IFERROR(INDEX($Z$14:$Z$300, MATCH(0, INDEX(COUNTIF($AA$13:AA20, $Z$14:$Z$300), 0, 0), 0)), "")</f>
        <v/>
      </c>
      <c r="AB21" s="88" t="str">
        <f t="shared" si="0"/>
        <v/>
      </c>
      <c r="AC21">
        <v>8</v>
      </c>
      <c r="AE21" t="str">
        <f>IF(LISTADO_NOM!AK21="","",VLOOKUP(LISTADO_NOM!AK21,SEGUIMIENTOS,2,FALSE))</f>
        <v/>
      </c>
    </row>
    <row r="22" spans="1:31" x14ac:dyDescent="0.25">
      <c r="A22">
        <v>10</v>
      </c>
      <c r="C22" t="s">
        <v>294</v>
      </c>
      <c r="D22">
        <v>20</v>
      </c>
      <c r="K22">
        <v>21</v>
      </c>
      <c r="L22">
        <v>21</v>
      </c>
      <c r="P22" t="s">
        <v>191</v>
      </c>
      <c r="T22" t="s">
        <v>192</v>
      </c>
      <c r="U22" t="s">
        <v>318</v>
      </c>
      <c r="Z22" s="88" t="str">
        <f>IF(LISTADO_NOM!K22="","",DATE(LISTADO_NOM!M22,LISTADO_NOM!L22,LISTADO_NOM!K22))</f>
        <v/>
      </c>
      <c r="AA22" s="88" t="str">
        <f>IFERROR(INDEX($Z$14:$Z$300, MATCH(0, INDEX(COUNTIF($AA$13:AA21, $Z$14:$Z$300), 0, 0), 0)), "")</f>
        <v/>
      </c>
      <c r="AB22" s="88" t="str">
        <f t="shared" si="0"/>
        <v/>
      </c>
      <c r="AC22">
        <v>9</v>
      </c>
      <c r="AE22" t="str">
        <f>IF(LISTADO_NOM!AK22="","",VLOOKUP(LISTADO_NOM!AK22,SEGUIMIENTOS,2,FALSE))</f>
        <v/>
      </c>
    </row>
    <row r="23" spans="1:31" x14ac:dyDescent="0.25">
      <c r="A23">
        <v>11</v>
      </c>
      <c r="C23" t="s">
        <v>295</v>
      </c>
      <c r="D23">
        <v>21</v>
      </c>
      <c r="K23">
        <v>22</v>
      </c>
      <c r="L23">
        <v>22</v>
      </c>
      <c r="P23" t="s">
        <v>192</v>
      </c>
      <c r="T23" t="s">
        <v>193</v>
      </c>
      <c r="U23" t="s">
        <v>308</v>
      </c>
      <c r="Z23" s="88" t="str">
        <f>IF(LISTADO_NOM!K23="","",DATE(LISTADO_NOM!M23,LISTADO_NOM!L23,LISTADO_NOM!K23))</f>
        <v/>
      </c>
      <c r="AA23" s="88" t="str">
        <f>IFERROR(INDEX($Z$14:$Z$300, MATCH(0, INDEX(COUNTIF($AA$13:AA22, $Z$14:$Z$300), 0, 0), 0)), "")</f>
        <v/>
      </c>
      <c r="AB23" s="88" t="str">
        <f t="shared" si="0"/>
        <v/>
      </c>
      <c r="AC23">
        <v>10</v>
      </c>
      <c r="AE23" t="str">
        <f>IF(LISTADO_NOM!AK23="","",VLOOKUP(LISTADO_NOM!AK23,SEGUIMIENTOS,2,FALSE))</f>
        <v/>
      </c>
    </row>
    <row r="24" spans="1:31" x14ac:dyDescent="0.25">
      <c r="A24">
        <v>12</v>
      </c>
      <c r="C24" t="s">
        <v>296</v>
      </c>
      <c r="D24">
        <v>22</v>
      </c>
      <c r="K24">
        <v>23</v>
      </c>
      <c r="L24">
        <v>23</v>
      </c>
      <c r="P24" t="s">
        <v>193</v>
      </c>
      <c r="T24" t="s">
        <v>194</v>
      </c>
      <c r="U24" t="s">
        <v>306</v>
      </c>
      <c r="Z24" s="88" t="str">
        <f>IF(LISTADO_NOM!K24="","",DATE(LISTADO_NOM!M24,LISTADO_NOM!L24,LISTADO_NOM!K24))</f>
        <v/>
      </c>
      <c r="AA24" s="88" t="str">
        <f>IFERROR(INDEX($Z$14:$Z$300, MATCH(0, INDEX(COUNTIF($AA$13:AA23, $Z$14:$Z$300), 0, 0), 0)), "")</f>
        <v/>
      </c>
      <c r="AB24" s="88" t="str">
        <f t="shared" si="0"/>
        <v/>
      </c>
      <c r="AC24">
        <v>11</v>
      </c>
      <c r="AE24" t="str">
        <f>IF(LISTADO_NOM!AK24="","",VLOOKUP(LISTADO_NOM!AK24,SEGUIMIENTOS,2,FALSE))</f>
        <v/>
      </c>
    </row>
    <row r="25" spans="1:31" x14ac:dyDescent="0.25">
      <c r="A25">
        <v>13</v>
      </c>
      <c r="C25" t="s">
        <v>297</v>
      </c>
      <c r="D25">
        <v>23</v>
      </c>
      <c r="K25">
        <v>24</v>
      </c>
      <c r="L25">
        <v>24</v>
      </c>
      <c r="P25" t="s">
        <v>194</v>
      </c>
      <c r="T25" t="s">
        <v>195</v>
      </c>
      <c r="U25" t="s">
        <v>312</v>
      </c>
      <c r="Z25" s="88" t="str">
        <f>IF(LISTADO_NOM!K25="","",DATE(LISTADO_NOM!M25,LISTADO_NOM!L25,LISTADO_NOM!K25))</f>
        <v/>
      </c>
      <c r="AA25" s="88" t="str">
        <f>IFERROR(INDEX($Z$14:$Z$300, MATCH(0, INDEX(COUNTIF($AA$13:AA24, $Z$14:$Z$300), 0, 0), 0)), "")</f>
        <v/>
      </c>
      <c r="AB25" s="88" t="str">
        <f t="shared" si="0"/>
        <v/>
      </c>
      <c r="AC25">
        <v>12</v>
      </c>
      <c r="AE25" t="str">
        <f>IF(LISTADO_NOM!AK25="","",VLOOKUP(LISTADO_NOM!AK25,SEGUIMIENTOS,2,FALSE))</f>
        <v/>
      </c>
    </row>
    <row r="26" spans="1:31" x14ac:dyDescent="0.25">
      <c r="A26">
        <v>14</v>
      </c>
      <c r="C26" t="s">
        <v>298</v>
      </c>
      <c r="D26">
        <v>24</v>
      </c>
      <c r="K26">
        <v>25</v>
      </c>
      <c r="L26">
        <v>25</v>
      </c>
      <c r="P26" t="s">
        <v>195</v>
      </c>
      <c r="T26" t="s">
        <v>196</v>
      </c>
      <c r="U26" t="s">
        <v>313</v>
      </c>
      <c r="Z26" s="88" t="str">
        <f>IF(LISTADO_NOM!K26="","",DATE(LISTADO_NOM!M26,LISTADO_NOM!L26,LISTADO_NOM!K26))</f>
        <v/>
      </c>
      <c r="AA26" s="88" t="str">
        <f>IFERROR(INDEX($Z$14:$Z$300, MATCH(0, INDEX(COUNTIF($AA$13:AA25, $Z$14:$Z$300), 0, 0), 0)), "")</f>
        <v/>
      </c>
      <c r="AB26" s="88" t="str">
        <f t="shared" si="0"/>
        <v/>
      </c>
      <c r="AC26">
        <v>13</v>
      </c>
      <c r="AE26" t="str">
        <f>IF(LISTADO_NOM!AK26="","",VLOOKUP(LISTADO_NOM!AK26,SEGUIMIENTOS,2,FALSE))</f>
        <v/>
      </c>
    </row>
    <row r="27" spans="1:31" x14ac:dyDescent="0.25">
      <c r="A27">
        <v>15</v>
      </c>
      <c r="C27" t="s">
        <v>299</v>
      </c>
      <c r="D27">
        <v>25</v>
      </c>
      <c r="K27">
        <v>26</v>
      </c>
      <c r="L27">
        <v>26</v>
      </c>
      <c r="P27" t="s">
        <v>196</v>
      </c>
      <c r="T27" t="s">
        <v>197</v>
      </c>
      <c r="U27" t="s">
        <v>307</v>
      </c>
      <c r="Z27" s="88" t="str">
        <f>IF(LISTADO_NOM!K27="","",DATE(LISTADO_NOM!M27,LISTADO_NOM!L27,LISTADO_NOM!K27))</f>
        <v/>
      </c>
      <c r="AA27" s="88" t="str">
        <f>IFERROR(INDEX($Z$14:$Z$300, MATCH(0, INDEX(COUNTIF($AA$13:AA26, $Z$14:$Z$300), 0, 0), 0)), "")</f>
        <v/>
      </c>
      <c r="AB27" s="88" t="str">
        <f t="shared" si="0"/>
        <v/>
      </c>
      <c r="AC27">
        <v>14</v>
      </c>
      <c r="AE27" t="str">
        <f>IF(LISTADO_NOM!AK27="","",VLOOKUP(LISTADO_NOM!AK27,SEGUIMIENTOS,2,FALSE))</f>
        <v/>
      </c>
    </row>
    <row r="28" spans="1:31" x14ac:dyDescent="0.25">
      <c r="A28">
        <v>16</v>
      </c>
      <c r="C28" t="s">
        <v>300</v>
      </c>
      <c r="D28">
        <v>26</v>
      </c>
      <c r="K28">
        <v>27</v>
      </c>
      <c r="L28">
        <v>27</v>
      </c>
      <c r="P28" t="s">
        <v>197</v>
      </c>
      <c r="T28" t="s">
        <v>198</v>
      </c>
      <c r="U28" t="s">
        <v>312</v>
      </c>
      <c r="Z28" s="88" t="str">
        <f>IF(LISTADO_NOM!K28="","",DATE(LISTADO_NOM!M28,LISTADO_NOM!L28,LISTADO_NOM!K28))</f>
        <v/>
      </c>
      <c r="AA28" s="88" t="str">
        <f>IFERROR(INDEX($Z$14:$Z$300, MATCH(0, INDEX(COUNTIF($AA$13:AA27, $Z$14:$Z$300), 0, 0), 0)), "")</f>
        <v/>
      </c>
      <c r="AB28" s="88" t="str">
        <f t="shared" si="0"/>
        <v/>
      </c>
      <c r="AC28">
        <v>15</v>
      </c>
      <c r="AE28" t="str">
        <f>IF(LISTADO_NOM!AK28="","",VLOOKUP(LISTADO_NOM!AK28,SEGUIMIENTOS,2,FALSE))</f>
        <v/>
      </c>
    </row>
    <row r="29" spans="1:31" x14ac:dyDescent="0.25">
      <c r="A29">
        <v>17</v>
      </c>
      <c r="C29" t="s">
        <v>301</v>
      </c>
      <c r="D29">
        <v>27</v>
      </c>
      <c r="K29">
        <v>28</v>
      </c>
      <c r="L29">
        <v>28</v>
      </c>
      <c r="P29" t="s">
        <v>198</v>
      </c>
      <c r="T29" t="s">
        <v>199</v>
      </c>
      <c r="U29" t="s">
        <v>315</v>
      </c>
      <c r="Z29" s="88" t="str">
        <f>IF(LISTADO_NOM!K29="","",DATE(LISTADO_NOM!M29,LISTADO_NOM!L29,LISTADO_NOM!K29))</f>
        <v/>
      </c>
      <c r="AA29" s="88" t="str">
        <f>IFERROR(INDEX($Z$14:$Z$300, MATCH(0, INDEX(COUNTIF($AA$13:AA28, $Z$14:$Z$300), 0, 0), 0)), "")</f>
        <v/>
      </c>
      <c r="AB29" s="88" t="str">
        <f t="shared" si="0"/>
        <v/>
      </c>
      <c r="AC29">
        <v>16</v>
      </c>
      <c r="AE29" t="str">
        <f>IF(LISTADO_NOM!AK29="","",VLOOKUP(LISTADO_NOM!AK29,SEGUIMIENTOS,2,FALSE))</f>
        <v/>
      </c>
    </row>
    <row r="30" spans="1:31" x14ac:dyDescent="0.25">
      <c r="A30">
        <v>18</v>
      </c>
      <c r="C30" t="s">
        <v>302</v>
      </c>
      <c r="D30">
        <v>28</v>
      </c>
      <c r="K30">
        <v>29</v>
      </c>
      <c r="L30">
        <v>29</v>
      </c>
      <c r="P30" t="s">
        <v>199</v>
      </c>
      <c r="T30" t="s">
        <v>250</v>
      </c>
      <c r="U30" t="s">
        <v>310</v>
      </c>
      <c r="Z30" s="88" t="str">
        <f>IF(LISTADO_NOM!K30="","",DATE(LISTADO_NOM!M30,LISTADO_NOM!L30,LISTADO_NOM!K30))</f>
        <v/>
      </c>
      <c r="AA30" s="88" t="str">
        <f>IFERROR(INDEX($Z$14:$Z$300, MATCH(0, INDEX(COUNTIF($AA$13:AA29, $Z$14:$Z$300), 0, 0), 0)), "")</f>
        <v/>
      </c>
      <c r="AB30" s="88" t="str">
        <f t="shared" si="0"/>
        <v/>
      </c>
      <c r="AC30">
        <v>17</v>
      </c>
      <c r="AE30" t="str">
        <f>IF(LISTADO_NOM!AK30="","",VLOOKUP(LISTADO_NOM!AK30,SEGUIMIENTOS,2,FALSE))</f>
        <v/>
      </c>
    </row>
    <row r="31" spans="1:31" x14ac:dyDescent="0.25">
      <c r="A31">
        <v>19</v>
      </c>
      <c r="C31" t="s">
        <v>303</v>
      </c>
      <c r="D31">
        <v>29</v>
      </c>
      <c r="K31">
        <v>30</v>
      </c>
      <c r="L31">
        <v>30</v>
      </c>
      <c r="P31" t="s">
        <v>250</v>
      </c>
      <c r="T31" t="s">
        <v>200</v>
      </c>
      <c r="U31" t="s">
        <v>316</v>
      </c>
      <c r="Z31" s="88" t="str">
        <f>IF(LISTADO_NOM!K31="","",DATE(LISTADO_NOM!M31,LISTADO_NOM!L31,LISTADO_NOM!K31))</f>
        <v/>
      </c>
      <c r="AA31" s="88" t="str">
        <f>IFERROR(INDEX($Z$14:$Z$300, MATCH(0, INDEX(COUNTIF($AA$13:AA30, $Z$14:$Z$300), 0, 0), 0)), "")</f>
        <v/>
      </c>
      <c r="AB31" s="88" t="str">
        <f t="shared" si="0"/>
        <v/>
      </c>
      <c r="AC31">
        <v>18</v>
      </c>
      <c r="AE31" t="str">
        <f>IF(LISTADO_NOM!AK31="","",VLOOKUP(LISTADO_NOM!AK31,SEGUIMIENTOS,2,FALSE))</f>
        <v/>
      </c>
    </row>
    <row r="32" spans="1:31" x14ac:dyDescent="0.25">
      <c r="A32">
        <v>20</v>
      </c>
      <c r="C32" t="s">
        <v>304</v>
      </c>
      <c r="D32">
        <v>30</v>
      </c>
      <c r="K32">
        <v>31</v>
      </c>
      <c r="L32">
        <v>31</v>
      </c>
      <c r="P32" t="s">
        <v>200</v>
      </c>
      <c r="T32" t="s">
        <v>201</v>
      </c>
      <c r="U32" t="s">
        <v>312</v>
      </c>
      <c r="Z32" s="88" t="str">
        <f>IF(LISTADO_NOM!K32="","",DATE(LISTADO_NOM!M32,LISTADO_NOM!L32,LISTADO_NOM!K32))</f>
        <v/>
      </c>
      <c r="AA32" s="88" t="str">
        <f>IFERROR(INDEX($Z$14:$Z$300, MATCH(0, INDEX(COUNTIF($AA$13:AA31, $Z$14:$Z$300), 0, 0), 0)), "")</f>
        <v/>
      </c>
      <c r="AB32" s="88" t="str">
        <f t="shared" si="0"/>
        <v/>
      </c>
      <c r="AC32">
        <v>19</v>
      </c>
      <c r="AE32" t="str">
        <f>IF(LISTADO_NOM!AK32="","",VLOOKUP(LISTADO_NOM!AK32,SEGUIMIENTOS,2,FALSE))</f>
        <v/>
      </c>
    </row>
    <row r="33" spans="1:31" x14ac:dyDescent="0.25">
      <c r="A33">
        <v>21</v>
      </c>
      <c r="C33" t="s">
        <v>147</v>
      </c>
      <c r="K33">
        <v>32</v>
      </c>
      <c r="P33" t="s">
        <v>201</v>
      </c>
      <c r="T33" t="s">
        <v>202</v>
      </c>
      <c r="U33" t="s">
        <v>317</v>
      </c>
      <c r="Z33" s="88" t="str">
        <f>IF(LISTADO_NOM!K33="","",DATE(LISTADO_NOM!M33,LISTADO_NOM!L33,LISTADO_NOM!K33))</f>
        <v/>
      </c>
      <c r="AA33" s="88" t="str">
        <f>IFERROR(INDEX($Z$14:$Z$300, MATCH(0, INDEX(COUNTIF($AA$13:AA32, $Z$14:$Z$300), 0, 0), 0)), "")</f>
        <v/>
      </c>
      <c r="AB33" s="88" t="str">
        <f t="shared" si="0"/>
        <v/>
      </c>
      <c r="AC33">
        <v>20</v>
      </c>
      <c r="AE33" t="str">
        <f>IF(LISTADO_NOM!AK33="","",VLOOKUP(LISTADO_NOM!AK33,SEGUIMIENTOS,2,FALSE))</f>
        <v/>
      </c>
    </row>
    <row r="34" spans="1:31" x14ac:dyDescent="0.25">
      <c r="A34">
        <v>22</v>
      </c>
      <c r="K34">
        <v>33</v>
      </c>
      <c r="P34" t="s">
        <v>202</v>
      </c>
      <c r="T34" t="s">
        <v>203</v>
      </c>
      <c r="U34" t="s">
        <v>313</v>
      </c>
      <c r="Z34" s="88" t="str">
        <f>IF(LISTADO_NOM!K34="","",DATE(LISTADO_NOM!M34,LISTADO_NOM!L34,LISTADO_NOM!K34))</f>
        <v/>
      </c>
      <c r="AA34" s="88" t="str">
        <f>IFERROR(INDEX($Z$14:$Z$300, MATCH(0, INDEX(COUNTIF($AA$13:AA33, $Z$14:$Z$300), 0, 0), 0)), "")</f>
        <v/>
      </c>
      <c r="AB34" s="88" t="str">
        <f t="shared" si="0"/>
        <v/>
      </c>
      <c r="AC34">
        <v>21</v>
      </c>
      <c r="AE34" t="str">
        <f>IF(LISTADO_NOM!AK34="","",VLOOKUP(LISTADO_NOM!AK34,SEGUIMIENTOS,2,FALSE))</f>
        <v/>
      </c>
    </row>
    <row r="35" spans="1:31" x14ac:dyDescent="0.25">
      <c r="A35">
        <v>23</v>
      </c>
      <c r="K35">
        <v>34</v>
      </c>
      <c r="P35" t="s">
        <v>203</v>
      </c>
      <c r="T35" t="s">
        <v>204</v>
      </c>
      <c r="U35" t="s">
        <v>307</v>
      </c>
      <c r="Z35" s="88" t="str">
        <f>IF(LISTADO_NOM!K35="","",DATE(LISTADO_NOM!M35,LISTADO_NOM!L35,LISTADO_NOM!K35))</f>
        <v/>
      </c>
      <c r="AA35" s="88" t="str">
        <f>IFERROR(INDEX($Z$14:$Z$300, MATCH(0, INDEX(COUNTIF($AA$13:AA34, $Z$14:$Z$300), 0, 0), 0)), "")</f>
        <v/>
      </c>
      <c r="AB35" s="88" t="str">
        <f t="shared" si="0"/>
        <v/>
      </c>
      <c r="AC35">
        <v>22</v>
      </c>
      <c r="AE35" t="str">
        <f>IF(LISTADO_NOM!AK35="","",VLOOKUP(LISTADO_NOM!AK35,SEGUIMIENTOS,2,FALSE))</f>
        <v/>
      </c>
    </row>
    <row r="36" spans="1:31" x14ac:dyDescent="0.25">
      <c r="A36">
        <v>24</v>
      </c>
      <c r="K36">
        <v>35</v>
      </c>
      <c r="P36" t="s">
        <v>204</v>
      </c>
      <c r="T36" t="s">
        <v>205</v>
      </c>
      <c r="U36" t="s">
        <v>317</v>
      </c>
      <c r="Z36" s="88" t="str">
        <f>IF(LISTADO_NOM!K36="","",DATE(LISTADO_NOM!M36,LISTADO_NOM!L36,LISTADO_NOM!K36))</f>
        <v/>
      </c>
      <c r="AA36" s="88" t="str">
        <f>IFERROR(INDEX($Z$14:$Z$300, MATCH(0, INDEX(COUNTIF($AA$13:AA35, $Z$14:$Z$300), 0, 0), 0)), "")</f>
        <v/>
      </c>
      <c r="AB36" s="88" t="str">
        <f t="shared" si="0"/>
        <v/>
      </c>
      <c r="AC36">
        <v>23</v>
      </c>
      <c r="AE36" t="str">
        <f>IF(LISTADO_NOM!AK36="","",VLOOKUP(LISTADO_NOM!AK36,SEGUIMIENTOS,2,FALSE))</f>
        <v/>
      </c>
    </row>
    <row r="37" spans="1:31" x14ac:dyDescent="0.25">
      <c r="A37">
        <v>25</v>
      </c>
      <c r="K37">
        <v>36</v>
      </c>
      <c r="P37" t="s">
        <v>205</v>
      </c>
      <c r="T37" t="s">
        <v>206</v>
      </c>
      <c r="U37" t="s">
        <v>317</v>
      </c>
      <c r="Z37" s="88" t="str">
        <f>IF(LISTADO_NOM!K37="","",DATE(LISTADO_NOM!M37,LISTADO_NOM!L37,LISTADO_NOM!K37))</f>
        <v/>
      </c>
      <c r="AA37" s="88" t="str">
        <f>IFERROR(INDEX($Z$14:$Z$300, MATCH(0, INDEX(COUNTIF($AA$13:AA36, $Z$14:$Z$300), 0, 0), 0)), "")</f>
        <v/>
      </c>
      <c r="AB37" s="88" t="str">
        <f t="shared" si="0"/>
        <v/>
      </c>
      <c r="AC37">
        <v>24</v>
      </c>
      <c r="AE37" t="str">
        <f>IF(LISTADO_NOM!AK37="","",VLOOKUP(LISTADO_NOM!AK37,SEGUIMIENTOS,2,FALSE))</f>
        <v/>
      </c>
    </row>
    <row r="38" spans="1:31" x14ac:dyDescent="0.25">
      <c r="A38">
        <v>26</v>
      </c>
      <c r="K38">
        <v>37</v>
      </c>
      <c r="P38" t="s">
        <v>206</v>
      </c>
      <c r="T38" t="s">
        <v>207</v>
      </c>
      <c r="U38" t="s">
        <v>306</v>
      </c>
      <c r="Z38" s="88" t="str">
        <f>IF(LISTADO_NOM!K38="","",DATE(LISTADO_NOM!M38,LISTADO_NOM!L38,LISTADO_NOM!K38))</f>
        <v/>
      </c>
      <c r="AA38" s="88" t="str">
        <f>IFERROR(INDEX($Z$14:$Z$300, MATCH(0, INDEX(COUNTIF($AA$13:AA37, $Z$14:$Z$300), 0, 0), 0)), "")</f>
        <v/>
      </c>
      <c r="AB38" s="88" t="str">
        <f t="shared" si="0"/>
        <v/>
      </c>
      <c r="AC38">
        <v>25</v>
      </c>
      <c r="AE38" t="str">
        <f>IF(LISTADO_NOM!AK38="","",VLOOKUP(LISTADO_NOM!AK38,SEGUIMIENTOS,2,FALSE))</f>
        <v/>
      </c>
    </row>
    <row r="39" spans="1:31" x14ac:dyDescent="0.25">
      <c r="A39">
        <v>27</v>
      </c>
      <c r="K39">
        <v>38</v>
      </c>
      <c r="P39" t="s">
        <v>207</v>
      </c>
      <c r="T39" t="s">
        <v>208</v>
      </c>
      <c r="U39" t="s">
        <v>318</v>
      </c>
      <c r="Z39" s="88" t="str">
        <f>IF(LISTADO_NOM!K39="","",DATE(LISTADO_NOM!M39,LISTADO_NOM!L39,LISTADO_NOM!K39))</f>
        <v/>
      </c>
      <c r="AA39" s="88" t="str">
        <f>IFERROR(INDEX($Z$14:$Z$300, MATCH(0, INDEX(COUNTIF($AA$13:AA38, $Z$14:$Z$300), 0, 0), 0)), "")</f>
        <v/>
      </c>
      <c r="AB39" s="88" t="str">
        <f t="shared" si="0"/>
        <v/>
      </c>
      <c r="AC39">
        <v>26</v>
      </c>
      <c r="AE39" t="str">
        <f>IF(LISTADO_NOM!AK39="","",VLOOKUP(LISTADO_NOM!AK39,SEGUIMIENTOS,2,FALSE))</f>
        <v/>
      </c>
    </row>
    <row r="40" spans="1:31" x14ac:dyDescent="0.25">
      <c r="A40">
        <v>28</v>
      </c>
      <c r="K40">
        <v>39</v>
      </c>
      <c r="P40" t="s">
        <v>208</v>
      </c>
      <c r="T40" t="s">
        <v>251</v>
      </c>
      <c r="U40" t="s">
        <v>316</v>
      </c>
      <c r="Z40" s="88" t="str">
        <f>IF(LISTADO_NOM!K40="","",DATE(LISTADO_NOM!M40,LISTADO_NOM!L40,LISTADO_NOM!K40))</f>
        <v/>
      </c>
      <c r="AA40" s="88" t="str">
        <f>IFERROR(INDEX($Z$14:$Z$300, MATCH(0, INDEX(COUNTIF($AA$13:AA39, $Z$14:$Z$300), 0, 0), 0)), "")</f>
        <v/>
      </c>
      <c r="AB40" s="88" t="str">
        <f t="shared" si="0"/>
        <v/>
      </c>
      <c r="AC40">
        <v>27</v>
      </c>
      <c r="AE40" t="str">
        <f>IF(LISTADO_NOM!AK40="","",VLOOKUP(LISTADO_NOM!AK40,SEGUIMIENTOS,2,FALSE))</f>
        <v/>
      </c>
    </row>
    <row r="41" spans="1:31" x14ac:dyDescent="0.25">
      <c r="A41">
        <v>29</v>
      </c>
      <c r="K41">
        <v>40</v>
      </c>
      <c r="P41" t="s">
        <v>251</v>
      </c>
      <c r="T41" t="s">
        <v>209</v>
      </c>
      <c r="U41" t="s">
        <v>308</v>
      </c>
      <c r="Z41" s="88" t="str">
        <f>IF(LISTADO_NOM!K41="","",DATE(LISTADO_NOM!M41,LISTADO_NOM!L41,LISTADO_NOM!K41))</f>
        <v/>
      </c>
      <c r="AA41" s="88" t="str">
        <f>IFERROR(INDEX($Z$14:$Z$300, MATCH(0, INDEX(COUNTIF($AA$13:AA40, $Z$14:$Z$300), 0, 0), 0)), "")</f>
        <v/>
      </c>
      <c r="AB41" s="88" t="str">
        <f t="shared" si="0"/>
        <v/>
      </c>
      <c r="AC41">
        <v>28</v>
      </c>
      <c r="AE41" t="str">
        <f>IF(LISTADO_NOM!AK41="","",VLOOKUP(LISTADO_NOM!AK41,SEGUIMIENTOS,2,FALSE))</f>
        <v/>
      </c>
    </row>
    <row r="42" spans="1:31" x14ac:dyDescent="0.25">
      <c r="A42">
        <v>30</v>
      </c>
      <c r="K42">
        <v>41</v>
      </c>
      <c r="P42" t="s">
        <v>209</v>
      </c>
      <c r="T42" t="s">
        <v>210</v>
      </c>
      <c r="U42" t="s">
        <v>313</v>
      </c>
      <c r="Z42" s="88" t="str">
        <f>IF(LISTADO_NOM!K42="","",DATE(LISTADO_NOM!M42,LISTADO_NOM!L42,LISTADO_NOM!K42))</f>
        <v/>
      </c>
      <c r="AA42" s="88" t="str">
        <f>IFERROR(INDEX($Z$14:$Z$300, MATCH(0, INDEX(COUNTIF($AA$13:AA41, $Z$14:$Z$300), 0, 0), 0)), "")</f>
        <v/>
      </c>
      <c r="AB42" s="88" t="str">
        <f t="shared" si="0"/>
        <v/>
      </c>
      <c r="AC42">
        <v>29</v>
      </c>
      <c r="AE42" t="str">
        <f>IF(LISTADO_NOM!AK42="","",VLOOKUP(LISTADO_NOM!AK42,SEGUIMIENTOS,2,FALSE))</f>
        <v/>
      </c>
    </row>
    <row r="43" spans="1:31" x14ac:dyDescent="0.25">
      <c r="A43">
        <v>31</v>
      </c>
      <c r="K43">
        <v>42</v>
      </c>
      <c r="P43" t="s">
        <v>210</v>
      </c>
      <c r="T43" t="s">
        <v>211</v>
      </c>
      <c r="U43" t="s">
        <v>319</v>
      </c>
      <c r="Z43" s="88" t="str">
        <f>IF(LISTADO_NOM!K43="","",DATE(LISTADO_NOM!M43,LISTADO_NOM!L43,LISTADO_NOM!K43))</f>
        <v/>
      </c>
      <c r="AA43" s="88" t="str">
        <f>IFERROR(INDEX($Z$14:$Z$300, MATCH(0, INDEX(COUNTIF($AA$13:AA42, $Z$14:$Z$300), 0, 0), 0)), "")</f>
        <v/>
      </c>
      <c r="AB43" s="88" t="str">
        <f t="shared" si="0"/>
        <v/>
      </c>
      <c r="AC43">
        <v>30</v>
      </c>
      <c r="AE43" t="str">
        <f>IF(LISTADO_NOM!AK43="","",VLOOKUP(LISTADO_NOM!AK43,SEGUIMIENTOS,2,FALSE))</f>
        <v/>
      </c>
    </row>
    <row r="44" spans="1:31" x14ac:dyDescent="0.25">
      <c r="A44">
        <v>32</v>
      </c>
      <c r="K44">
        <v>43</v>
      </c>
      <c r="P44" t="s">
        <v>211</v>
      </c>
      <c r="T44" t="s">
        <v>212</v>
      </c>
      <c r="U44" t="s">
        <v>315</v>
      </c>
      <c r="Z44" s="88" t="str">
        <f>IF(LISTADO_NOM!K44="","",DATE(LISTADO_NOM!M44,LISTADO_NOM!L44,LISTADO_NOM!K44))</f>
        <v/>
      </c>
      <c r="AA44" s="88" t="str">
        <f>IFERROR(INDEX($Z$14:$Z$300, MATCH(0, INDEX(COUNTIF($AA$13:AA43, $Z$14:$Z$300), 0, 0), 0)), "")</f>
        <v/>
      </c>
      <c r="AB44" s="88" t="str">
        <f t="shared" si="0"/>
        <v/>
      </c>
      <c r="AC44">
        <v>31</v>
      </c>
      <c r="AE44" t="str">
        <f>IF(LISTADO_NOM!AK44="","",VLOOKUP(LISTADO_NOM!AK44,SEGUIMIENTOS,2,FALSE))</f>
        <v/>
      </c>
    </row>
    <row r="45" spans="1:31" x14ac:dyDescent="0.25">
      <c r="A45">
        <v>33</v>
      </c>
      <c r="K45">
        <v>44</v>
      </c>
      <c r="P45" t="s">
        <v>212</v>
      </c>
      <c r="T45" t="s">
        <v>213</v>
      </c>
      <c r="U45" t="s">
        <v>306</v>
      </c>
      <c r="Z45" s="88" t="str">
        <f>IF(LISTADO_NOM!K45="","",DATE(LISTADO_NOM!M45,LISTADO_NOM!L45,LISTADO_NOM!K45))</f>
        <v/>
      </c>
      <c r="AA45" s="88" t="str">
        <f>IFERROR(INDEX($Z$14:$Z$300, MATCH(0, INDEX(COUNTIF($AA$13:AA44, $Z$14:$Z$300), 0, 0), 0)), "")</f>
        <v/>
      </c>
      <c r="AB45" s="88" t="str">
        <f t="shared" si="0"/>
        <v/>
      </c>
      <c r="AC45">
        <v>32</v>
      </c>
      <c r="AE45" t="str">
        <f>IF(LISTADO_NOM!AK45="","",VLOOKUP(LISTADO_NOM!AK45,SEGUIMIENTOS,2,FALSE))</f>
        <v/>
      </c>
    </row>
    <row r="46" spans="1:31" x14ac:dyDescent="0.25">
      <c r="A46">
        <v>34</v>
      </c>
      <c r="K46">
        <v>45</v>
      </c>
      <c r="P46" t="s">
        <v>213</v>
      </c>
      <c r="T46" t="s">
        <v>214</v>
      </c>
      <c r="U46" t="s">
        <v>312</v>
      </c>
      <c r="Z46" s="88" t="str">
        <f>IF(LISTADO_NOM!K46="","",DATE(LISTADO_NOM!M46,LISTADO_NOM!L46,LISTADO_NOM!K46))</f>
        <v/>
      </c>
      <c r="AA46" s="88" t="str">
        <f>IFERROR(INDEX($Z$14:$Z$300, MATCH(0, INDEX(COUNTIF($AA$13:AA45, $Z$14:$Z$300), 0, 0), 0)), "")</f>
        <v/>
      </c>
      <c r="AB46" s="88" t="str">
        <f t="shared" si="0"/>
        <v/>
      </c>
      <c r="AC46">
        <v>33</v>
      </c>
      <c r="AE46" t="str">
        <f>IF(LISTADO_NOM!AK46="","",VLOOKUP(LISTADO_NOM!AK46,SEGUIMIENTOS,2,FALSE))</f>
        <v/>
      </c>
    </row>
    <row r="47" spans="1:31" x14ac:dyDescent="0.25">
      <c r="A47">
        <v>35</v>
      </c>
      <c r="K47">
        <v>46</v>
      </c>
      <c r="P47" t="s">
        <v>214</v>
      </c>
      <c r="T47" t="s">
        <v>215</v>
      </c>
      <c r="U47" t="s">
        <v>319</v>
      </c>
      <c r="Z47" s="88" t="str">
        <f>IF(LISTADO_NOM!K47="","",DATE(LISTADO_NOM!M47,LISTADO_NOM!L47,LISTADO_NOM!K47))</f>
        <v/>
      </c>
      <c r="AA47" s="88" t="str">
        <f>IFERROR(INDEX($Z$14:$Z$300, MATCH(0, INDEX(COUNTIF($AA$13:AA46, $Z$14:$Z$300), 0, 0), 0)), "")</f>
        <v/>
      </c>
      <c r="AB47" s="88" t="str">
        <f t="shared" si="0"/>
        <v/>
      </c>
      <c r="AC47">
        <v>34</v>
      </c>
      <c r="AE47" t="str">
        <f>IF(LISTADO_NOM!AK47="","",VLOOKUP(LISTADO_NOM!AK47,SEGUIMIENTOS,2,FALSE))</f>
        <v/>
      </c>
    </row>
    <row r="48" spans="1:31" x14ac:dyDescent="0.25">
      <c r="A48">
        <v>36</v>
      </c>
      <c r="K48">
        <v>47</v>
      </c>
      <c r="P48" t="s">
        <v>215</v>
      </c>
      <c r="T48" t="s">
        <v>216</v>
      </c>
      <c r="U48" t="s">
        <v>318</v>
      </c>
      <c r="Z48" s="88" t="str">
        <f>IF(LISTADO_NOM!K48="","",DATE(LISTADO_NOM!M48,LISTADO_NOM!L48,LISTADO_NOM!K48))</f>
        <v/>
      </c>
      <c r="AA48" s="88" t="str">
        <f>IFERROR(INDEX($Z$14:$Z$300, MATCH(0, INDEX(COUNTIF($AA$13:AA47, $Z$14:$Z$300), 0, 0), 0)), "")</f>
        <v/>
      </c>
      <c r="AB48" s="88" t="str">
        <f t="shared" si="0"/>
        <v/>
      </c>
      <c r="AC48">
        <v>35</v>
      </c>
      <c r="AE48" t="str">
        <f>IF(LISTADO_NOM!AK48="","",VLOOKUP(LISTADO_NOM!AK48,SEGUIMIENTOS,2,FALSE))</f>
        <v/>
      </c>
    </row>
    <row r="49" spans="1:31" x14ac:dyDescent="0.25">
      <c r="A49">
        <v>37</v>
      </c>
      <c r="K49">
        <v>48</v>
      </c>
      <c r="P49" t="s">
        <v>216</v>
      </c>
      <c r="T49" t="s">
        <v>217</v>
      </c>
      <c r="U49" t="s">
        <v>316</v>
      </c>
      <c r="Z49" s="88" t="str">
        <f>IF(LISTADO_NOM!K49="","",DATE(LISTADO_NOM!M49,LISTADO_NOM!L49,LISTADO_NOM!K49))</f>
        <v/>
      </c>
      <c r="AA49" s="88" t="str">
        <f>IFERROR(INDEX($Z$14:$Z$300, MATCH(0, INDEX(COUNTIF($AA$13:AA48, $Z$14:$Z$300), 0, 0), 0)), "")</f>
        <v/>
      </c>
      <c r="AB49" s="88" t="str">
        <f t="shared" si="0"/>
        <v/>
      </c>
      <c r="AC49">
        <v>36</v>
      </c>
      <c r="AE49" t="str">
        <f>IF(LISTADO_NOM!AK49="","",VLOOKUP(LISTADO_NOM!AK49,SEGUIMIENTOS,2,FALSE))</f>
        <v/>
      </c>
    </row>
    <row r="50" spans="1:31" x14ac:dyDescent="0.25">
      <c r="A50">
        <v>38</v>
      </c>
      <c r="K50">
        <v>49</v>
      </c>
      <c r="P50" t="s">
        <v>217</v>
      </c>
      <c r="T50" t="s">
        <v>252</v>
      </c>
      <c r="U50" t="s">
        <v>308</v>
      </c>
      <c r="Z50" s="88" t="str">
        <f>IF(LISTADO_NOM!K50="","",DATE(LISTADO_NOM!M50,LISTADO_NOM!L50,LISTADO_NOM!K50))</f>
        <v/>
      </c>
      <c r="AA50" s="88" t="str">
        <f>IFERROR(INDEX($Z$14:$Z$300, MATCH(0, INDEX(COUNTIF($AA$13:AA49, $Z$14:$Z$300), 0, 0), 0)), "")</f>
        <v/>
      </c>
      <c r="AB50" s="88" t="str">
        <f t="shared" si="0"/>
        <v/>
      </c>
      <c r="AC50">
        <v>37</v>
      </c>
      <c r="AE50" t="str">
        <f>IF(LISTADO_NOM!AK50="","",VLOOKUP(LISTADO_NOM!AK50,SEGUIMIENTOS,2,FALSE))</f>
        <v/>
      </c>
    </row>
    <row r="51" spans="1:31" x14ac:dyDescent="0.25">
      <c r="A51">
        <v>39</v>
      </c>
      <c r="K51">
        <v>50</v>
      </c>
      <c r="P51" t="s">
        <v>252</v>
      </c>
      <c r="T51" t="s">
        <v>218</v>
      </c>
      <c r="U51" t="s">
        <v>318</v>
      </c>
      <c r="Z51" s="88" t="str">
        <f>IF(LISTADO_NOM!K51="","",DATE(LISTADO_NOM!M51,LISTADO_NOM!L51,LISTADO_NOM!K51))</f>
        <v/>
      </c>
      <c r="AA51" s="88" t="str">
        <f>IFERROR(INDEX($Z$14:$Z$300, MATCH(0, INDEX(COUNTIF($AA$13:AA50, $Z$14:$Z$300), 0, 0), 0)), "")</f>
        <v/>
      </c>
      <c r="AB51" s="88" t="str">
        <f t="shared" si="0"/>
        <v/>
      </c>
      <c r="AC51">
        <v>38</v>
      </c>
      <c r="AE51" t="str">
        <f>IF(LISTADO_NOM!AK51="","",VLOOKUP(LISTADO_NOM!AK51,SEGUIMIENTOS,2,FALSE))</f>
        <v/>
      </c>
    </row>
    <row r="52" spans="1:31" x14ac:dyDescent="0.25">
      <c r="A52">
        <v>40</v>
      </c>
      <c r="P52" t="s">
        <v>218</v>
      </c>
      <c r="T52" t="s">
        <v>219</v>
      </c>
      <c r="U52" t="s">
        <v>318</v>
      </c>
      <c r="Z52" s="88" t="str">
        <f>IF(LISTADO_NOM!K52="","",DATE(LISTADO_NOM!M52,LISTADO_NOM!L52,LISTADO_NOM!K52))</f>
        <v/>
      </c>
      <c r="AA52" s="88" t="str">
        <f>IFERROR(INDEX($Z$14:$Z$300, MATCH(0, INDEX(COUNTIF($AA$13:AA51, $Z$14:$Z$300), 0, 0), 0)), "")</f>
        <v/>
      </c>
      <c r="AB52" s="88" t="str">
        <f t="shared" si="0"/>
        <v/>
      </c>
      <c r="AC52">
        <v>39</v>
      </c>
      <c r="AE52" t="str">
        <f>IF(LISTADO_NOM!AK52="","",VLOOKUP(LISTADO_NOM!AK52,SEGUIMIENTOS,2,FALSE))</f>
        <v/>
      </c>
    </row>
    <row r="53" spans="1:31" x14ac:dyDescent="0.25">
      <c r="A53">
        <v>41</v>
      </c>
      <c r="P53" t="s">
        <v>219</v>
      </c>
      <c r="T53" t="s">
        <v>220</v>
      </c>
      <c r="U53" t="s">
        <v>307</v>
      </c>
      <c r="Z53" s="88" t="str">
        <f>IF(LISTADO_NOM!K53="","",DATE(LISTADO_NOM!M53,LISTADO_NOM!L53,LISTADO_NOM!K53))</f>
        <v/>
      </c>
      <c r="AA53" s="88" t="str">
        <f>IFERROR(INDEX($Z$14:$Z$300, MATCH(0, INDEX(COUNTIF($AA$13:AA52, $Z$14:$Z$300), 0, 0), 0)), "")</f>
        <v/>
      </c>
      <c r="AB53" s="88" t="str">
        <f t="shared" si="0"/>
        <v/>
      </c>
      <c r="AC53">
        <v>40</v>
      </c>
      <c r="AE53" t="str">
        <f>IF(LISTADO_NOM!AK53="","",VLOOKUP(LISTADO_NOM!AK53,SEGUIMIENTOS,2,FALSE))</f>
        <v/>
      </c>
    </row>
    <row r="54" spans="1:31" x14ac:dyDescent="0.25">
      <c r="A54">
        <v>42</v>
      </c>
      <c r="P54" t="s">
        <v>220</v>
      </c>
      <c r="T54" t="s">
        <v>221</v>
      </c>
      <c r="U54" t="s">
        <v>308</v>
      </c>
      <c r="Z54" s="88" t="str">
        <f>IF(LISTADO_NOM!K54="","",DATE(LISTADO_NOM!M54,LISTADO_NOM!L54,LISTADO_NOM!K54))</f>
        <v/>
      </c>
      <c r="AA54" s="88" t="str">
        <f>IFERROR(INDEX($Z$14:$Z$300, MATCH(0, INDEX(COUNTIF($AA$13:AA53, $Z$14:$Z$300), 0, 0), 0)), "")</f>
        <v/>
      </c>
      <c r="AB54" s="88" t="str">
        <f t="shared" si="0"/>
        <v/>
      </c>
      <c r="AC54">
        <v>41</v>
      </c>
      <c r="AE54" t="str">
        <f>IF(LISTADO_NOM!AK54="","",VLOOKUP(LISTADO_NOM!AK54,SEGUIMIENTOS,2,FALSE))</f>
        <v/>
      </c>
    </row>
    <row r="55" spans="1:31" x14ac:dyDescent="0.25">
      <c r="A55">
        <v>43</v>
      </c>
      <c r="P55" t="s">
        <v>221</v>
      </c>
      <c r="T55" t="s">
        <v>222</v>
      </c>
      <c r="U55" t="s">
        <v>308</v>
      </c>
      <c r="Z55" s="88" t="str">
        <f>IF(LISTADO_NOM!K55="","",DATE(LISTADO_NOM!M55,LISTADO_NOM!L55,LISTADO_NOM!K55))</f>
        <v/>
      </c>
      <c r="AA55" s="88" t="str">
        <f>IFERROR(INDEX($Z$14:$Z$300, MATCH(0, INDEX(COUNTIF($AA$13:AA54, $Z$14:$Z$300), 0, 0), 0)), "")</f>
        <v/>
      </c>
      <c r="AB55" s="88" t="str">
        <f t="shared" si="0"/>
        <v/>
      </c>
      <c r="AC55">
        <v>42</v>
      </c>
      <c r="AE55" t="str">
        <f>IF(LISTADO_NOM!AK55="","",VLOOKUP(LISTADO_NOM!AK55,SEGUIMIENTOS,2,FALSE))</f>
        <v/>
      </c>
    </row>
    <row r="56" spans="1:31" x14ac:dyDescent="0.25">
      <c r="A56">
        <v>44</v>
      </c>
      <c r="P56" t="s">
        <v>222</v>
      </c>
      <c r="T56" t="s">
        <v>223</v>
      </c>
      <c r="U56" t="s">
        <v>314</v>
      </c>
      <c r="Z56" s="88" t="str">
        <f>IF(LISTADO_NOM!K56="","",DATE(LISTADO_NOM!M56,LISTADO_NOM!L56,LISTADO_NOM!K56))</f>
        <v/>
      </c>
      <c r="AA56" s="88" t="str">
        <f>IFERROR(INDEX($Z$14:$Z$300, MATCH(0, INDEX(COUNTIF($AA$13:AA55, $Z$14:$Z$300), 0, 0), 0)), "")</f>
        <v/>
      </c>
      <c r="AB56" s="88" t="str">
        <f t="shared" si="0"/>
        <v/>
      </c>
      <c r="AC56">
        <v>43</v>
      </c>
      <c r="AE56" t="str">
        <f>IF(LISTADO_NOM!AK56="","",VLOOKUP(LISTADO_NOM!AK56,SEGUIMIENTOS,2,FALSE))</f>
        <v/>
      </c>
    </row>
    <row r="57" spans="1:31" x14ac:dyDescent="0.25">
      <c r="A57">
        <v>45</v>
      </c>
      <c r="P57" t="s">
        <v>223</v>
      </c>
      <c r="T57" t="s">
        <v>224</v>
      </c>
      <c r="U57" t="s">
        <v>314</v>
      </c>
      <c r="Z57" s="88" t="str">
        <f>IF(LISTADO_NOM!K57="","",DATE(LISTADO_NOM!M57,LISTADO_NOM!L57,LISTADO_NOM!K57))</f>
        <v/>
      </c>
      <c r="AA57" s="88" t="str">
        <f>IFERROR(INDEX($Z$14:$Z$300, MATCH(0, INDEX(COUNTIF($AA$13:AA56, $Z$14:$Z$300), 0, 0), 0)), "")</f>
        <v/>
      </c>
      <c r="AB57" s="88" t="str">
        <f t="shared" si="0"/>
        <v/>
      </c>
      <c r="AC57">
        <v>44</v>
      </c>
      <c r="AE57" t="str">
        <f>IF(LISTADO_NOM!AK57="","",VLOOKUP(LISTADO_NOM!AK57,SEGUIMIENTOS,2,FALSE))</f>
        <v/>
      </c>
    </row>
    <row r="58" spans="1:31" x14ac:dyDescent="0.25">
      <c r="A58">
        <v>46</v>
      </c>
      <c r="P58" t="s">
        <v>224</v>
      </c>
      <c r="T58" t="s">
        <v>225</v>
      </c>
      <c r="U58" t="s">
        <v>319</v>
      </c>
      <c r="Z58" s="88" t="str">
        <f>IF(LISTADO_NOM!K58="","",DATE(LISTADO_NOM!M58,LISTADO_NOM!L58,LISTADO_NOM!K58))</f>
        <v/>
      </c>
      <c r="AA58" s="88" t="str">
        <f>IFERROR(INDEX($Z$14:$Z$300, MATCH(0, INDEX(COUNTIF($AA$13:AA57, $Z$14:$Z$300), 0, 0), 0)), "")</f>
        <v/>
      </c>
      <c r="AB58" s="88" t="str">
        <f t="shared" si="0"/>
        <v/>
      </c>
      <c r="AC58">
        <v>45</v>
      </c>
      <c r="AE58" t="str">
        <f>IF(LISTADO_NOM!AK58="","",VLOOKUP(LISTADO_NOM!AK58,SEGUIMIENTOS,2,FALSE))</f>
        <v/>
      </c>
    </row>
    <row r="59" spans="1:31" x14ac:dyDescent="0.25">
      <c r="A59">
        <v>47</v>
      </c>
      <c r="P59" t="s">
        <v>225</v>
      </c>
      <c r="T59" t="s">
        <v>226</v>
      </c>
      <c r="U59" t="s">
        <v>315</v>
      </c>
      <c r="Z59" s="88" t="str">
        <f>IF(LISTADO_NOM!K59="","",DATE(LISTADO_NOM!M59,LISTADO_NOM!L59,LISTADO_NOM!K59))</f>
        <v/>
      </c>
      <c r="AA59" s="88" t="str">
        <f>IFERROR(INDEX($Z$14:$Z$300, MATCH(0, INDEX(COUNTIF($AA$13:AA58, $Z$14:$Z$300), 0, 0), 0)), "")</f>
        <v/>
      </c>
      <c r="AB59" s="88" t="str">
        <f t="shared" si="0"/>
        <v/>
      </c>
      <c r="AC59">
        <v>46</v>
      </c>
      <c r="AE59" t="str">
        <f>IF(LISTADO_NOM!AK59="","",VLOOKUP(LISTADO_NOM!AK59,SEGUIMIENTOS,2,FALSE))</f>
        <v/>
      </c>
    </row>
    <row r="60" spans="1:31" x14ac:dyDescent="0.25">
      <c r="A60">
        <v>48</v>
      </c>
      <c r="P60" t="s">
        <v>226</v>
      </c>
      <c r="T60" t="s">
        <v>253</v>
      </c>
      <c r="U60" t="s">
        <v>307</v>
      </c>
      <c r="Z60" s="88" t="str">
        <f>IF(LISTADO_NOM!K60="","",DATE(LISTADO_NOM!M60,LISTADO_NOM!L60,LISTADO_NOM!K60))</f>
        <v/>
      </c>
      <c r="AA60" s="88" t="str">
        <f>IFERROR(INDEX($Z$14:$Z$300, MATCH(0, INDEX(COUNTIF($AA$13:AA59, $Z$14:$Z$300), 0, 0), 0)), "")</f>
        <v/>
      </c>
      <c r="AB60" s="88" t="str">
        <f t="shared" si="0"/>
        <v/>
      </c>
      <c r="AC60">
        <v>47</v>
      </c>
      <c r="AE60" t="str">
        <f>IF(LISTADO_NOM!AK60="","",VLOOKUP(LISTADO_NOM!AK60,SEGUIMIENTOS,2,FALSE))</f>
        <v/>
      </c>
    </row>
    <row r="61" spans="1:31" x14ac:dyDescent="0.25">
      <c r="A61">
        <v>49</v>
      </c>
      <c r="P61" t="s">
        <v>253</v>
      </c>
      <c r="T61" t="s">
        <v>227</v>
      </c>
      <c r="U61" t="s">
        <v>311</v>
      </c>
      <c r="Z61" s="88" t="str">
        <f>IF(LISTADO_NOM!K61="","",DATE(LISTADO_NOM!M61,LISTADO_NOM!L61,LISTADO_NOM!K61))</f>
        <v/>
      </c>
      <c r="AA61" s="88" t="str">
        <f>IFERROR(INDEX($Z$14:$Z$300, MATCH(0, INDEX(COUNTIF($AA$13:AA60, $Z$14:$Z$300), 0, 0), 0)), "")</f>
        <v/>
      </c>
      <c r="AB61" s="88" t="str">
        <f t="shared" si="0"/>
        <v/>
      </c>
      <c r="AC61">
        <v>48</v>
      </c>
      <c r="AE61" t="str">
        <f>IF(LISTADO_NOM!AK61="","",VLOOKUP(LISTADO_NOM!AK61,SEGUIMIENTOS,2,FALSE))</f>
        <v/>
      </c>
    </row>
    <row r="62" spans="1:31" x14ac:dyDescent="0.25">
      <c r="A62">
        <v>50</v>
      </c>
      <c r="P62" t="s">
        <v>227</v>
      </c>
      <c r="T62" t="s">
        <v>228</v>
      </c>
      <c r="U62" t="s">
        <v>313</v>
      </c>
      <c r="Z62" s="88" t="str">
        <f>IF(LISTADO_NOM!K62="","",DATE(LISTADO_NOM!M62,LISTADO_NOM!L62,LISTADO_NOM!K62))</f>
        <v/>
      </c>
      <c r="AA62" s="88" t="str">
        <f>IFERROR(INDEX($Z$14:$Z$300, MATCH(0, INDEX(COUNTIF($AA$13:AA61, $Z$14:$Z$300), 0, 0), 0)), "")</f>
        <v/>
      </c>
      <c r="AB62" s="88" t="str">
        <f t="shared" si="0"/>
        <v/>
      </c>
      <c r="AC62">
        <v>49</v>
      </c>
      <c r="AE62" t="str">
        <f>IF(LISTADO_NOM!AK62="","",VLOOKUP(LISTADO_NOM!AK62,SEGUIMIENTOS,2,FALSE))</f>
        <v/>
      </c>
    </row>
    <row r="63" spans="1:31" x14ac:dyDescent="0.25">
      <c r="A63">
        <v>51</v>
      </c>
      <c r="P63" t="s">
        <v>228</v>
      </c>
      <c r="T63" t="s">
        <v>229</v>
      </c>
      <c r="U63" t="s">
        <v>309</v>
      </c>
      <c r="Z63" s="88" t="str">
        <f>IF(LISTADO_NOM!K63="","",DATE(LISTADO_NOM!M63,LISTADO_NOM!L63,LISTADO_NOM!K63))</f>
        <v/>
      </c>
      <c r="AA63" s="88" t="str">
        <f>IFERROR(INDEX($Z$14:$Z$300, MATCH(0, INDEX(COUNTIF($AA$13:AA62, $Z$14:$Z$300), 0, 0), 0)), "")</f>
        <v/>
      </c>
      <c r="AB63" s="88" t="str">
        <f t="shared" si="0"/>
        <v/>
      </c>
      <c r="AC63">
        <v>50</v>
      </c>
      <c r="AE63" t="str">
        <f>IF(LISTADO_NOM!AK63="","",VLOOKUP(LISTADO_NOM!AK63,SEGUIMIENTOS,2,FALSE))</f>
        <v/>
      </c>
    </row>
    <row r="64" spans="1:31" x14ac:dyDescent="0.25">
      <c r="A64">
        <v>52</v>
      </c>
      <c r="P64" t="s">
        <v>229</v>
      </c>
      <c r="T64" t="s">
        <v>230</v>
      </c>
      <c r="U64" t="s">
        <v>320</v>
      </c>
      <c r="Z64" s="88" t="str">
        <f>IF(LISTADO_NOM!K64="","",DATE(LISTADO_NOM!M64,LISTADO_NOM!L64,LISTADO_NOM!K64))</f>
        <v/>
      </c>
      <c r="AA64" s="88" t="str">
        <f>IFERROR(INDEX($Z$14:$Z$300, MATCH(0, INDEX(COUNTIF($AA$13:AA63, $Z$14:$Z$300), 0, 0), 0)), "")</f>
        <v/>
      </c>
      <c r="AB64" s="88" t="str">
        <f t="shared" si="0"/>
        <v/>
      </c>
      <c r="AC64">
        <v>51</v>
      </c>
      <c r="AE64" t="str">
        <f>IF(LISTADO_NOM!AK64="","",VLOOKUP(LISTADO_NOM!AK64,SEGUIMIENTOS,2,FALSE))</f>
        <v/>
      </c>
    </row>
    <row r="65" spans="1:31" x14ac:dyDescent="0.25">
      <c r="A65">
        <v>53</v>
      </c>
      <c r="P65" t="s">
        <v>230</v>
      </c>
      <c r="T65" t="s">
        <v>231</v>
      </c>
      <c r="U65" t="s">
        <v>309</v>
      </c>
      <c r="Z65" s="88" t="str">
        <f>IF(LISTADO_NOM!K65="","",DATE(LISTADO_NOM!M65,LISTADO_NOM!L65,LISTADO_NOM!K65))</f>
        <v/>
      </c>
      <c r="AA65" s="88" t="str">
        <f>IFERROR(INDEX($Z$14:$Z$300, MATCH(0, INDEX(COUNTIF($AA$13:AA64, $Z$14:$Z$300), 0, 0), 0)), "")</f>
        <v/>
      </c>
      <c r="AB65" s="88" t="str">
        <f t="shared" si="0"/>
        <v/>
      </c>
      <c r="AC65">
        <v>52</v>
      </c>
      <c r="AE65" t="str">
        <f>IF(LISTADO_NOM!AK65="","",VLOOKUP(LISTADO_NOM!AK65,SEGUIMIENTOS,2,FALSE))</f>
        <v/>
      </c>
    </row>
    <row r="66" spans="1:31" x14ac:dyDescent="0.25">
      <c r="A66">
        <v>54</v>
      </c>
      <c r="P66" t="s">
        <v>231</v>
      </c>
      <c r="T66" t="s">
        <v>232</v>
      </c>
      <c r="U66" t="s">
        <v>321</v>
      </c>
      <c r="Z66" s="88" t="str">
        <f>IF(LISTADO_NOM!K66="","",DATE(LISTADO_NOM!M66,LISTADO_NOM!L66,LISTADO_NOM!K66))</f>
        <v/>
      </c>
      <c r="AA66" s="88" t="str">
        <f>IFERROR(INDEX($Z$14:$Z$300, MATCH(0, INDEX(COUNTIF($AA$13:AA65, $Z$14:$Z$300), 0, 0), 0)), "")</f>
        <v/>
      </c>
      <c r="AB66" s="88" t="str">
        <f t="shared" si="0"/>
        <v/>
      </c>
      <c r="AC66">
        <v>53</v>
      </c>
      <c r="AE66" t="str">
        <f>IF(LISTADO_NOM!AK66="","",VLOOKUP(LISTADO_NOM!AK66,SEGUIMIENTOS,2,FALSE))</f>
        <v/>
      </c>
    </row>
    <row r="67" spans="1:31" x14ac:dyDescent="0.25">
      <c r="A67">
        <v>55</v>
      </c>
      <c r="P67" t="s">
        <v>232</v>
      </c>
      <c r="T67" t="s">
        <v>233</v>
      </c>
      <c r="U67" t="s">
        <v>320</v>
      </c>
      <c r="Z67" s="88" t="str">
        <f>IF(LISTADO_NOM!K67="","",DATE(LISTADO_NOM!M67,LISTADO_NOM!L67,LISTADO_NOM!K67))</f>
        <v/>
      </c>
      <c r="AA67" s="88" t="str">
        <f>IFERROR(INDEX($Z$14:$Z$300, MATCH(0, INDEX(COUNTIF($AA$13:AA66, $Z$14:$Z$300), 0, 0), 0)), "")</f>
        <v/>
      </c>
      <c r="AB67" s="88" t="str">
        <f t="shared" si="0"/>
        <v/>
      </c>
      <c r="AC67">
        <v>54</v>
      </c>
      <c r="AE67" t="str">
        <f>IF(LISTADO_NOM!AK67="","",VLOOKUP(LISTADO_NOM!AK67,SEGUIMIENTOS,2,FALSE))</f>
        <v/>
      </c>
    </row>
    <row r="68" spans="1:31" x14ac:dyDescent="0.25">
      <c r="A68">
        <v>56</v>
      </c>
      <c r="P68" t="s">
        <v>233</v>
      </c>
      <c r="T68" t="s">
        <v>234</v>
      </c>
      <c r="U68" t="s">
        <v>322</v>
      </c>
      <c r="Z68" s="88" t="str">
        <f>IF(LISTADO_NOM!K68="","",DATE(LISTADO_NOM!M68,LISTADO_NOM!L68,LISTADO_NOM!K68))</f>
        <v/>
      </c>
      <c r="AA68" s="88" t="str">
        <f>IFERROR(INDEX($Z$14:$Z$300, MATCH(0, INDEX(COUNTIF($AA$13:AA67, $Z$14:$Z$300), 0, 0), 0)), "")</f>
        <v/>
      </c>
      <c r="AB68" s="88" t="str">
        <f t="shared" si="0"/>
        <v/>
      </c>
      <c r="AC68">
        <v>55</v>
      </c>
      <c r="AE68" t="str">
        <f>IF(LISTADO_NOM!AK68="","",VLOOKUP(LISTADO_NOM!AK68,SEGUIMIENTOS,2,FALSE))</f>
        <v/>
      </c>
    </row>
    <row r="69" spans="1:31" x14ac:dyDescent="0.25">
      <c r="A69">
        <v>57</v>
      </c>
      <c r="P69" t="s">
        <v>234</v>
      </c>
      <c r="T69" t="s">
        <v>235</v>
      </c>
      <c r="U69" t="s">
        <v>321</v>
      </c>
      <c r="Z69" s="88" t="str">
        <f>IF(LISTADO_NOM!K69="","",DATE(LISTADO_NOM!M69,LISTADO_NOM!L69,LISTADO_NOM!K69))</f>
        <v/>
      </c>
      <c r="AA69" s="88" t="str">
        <f>IFERROR(INDEX($Z$14:$Z$300, MATCH(0, INDEX(COUNTIF($AA$13:AA68, $Z$14:$Z$300), 0, 0), 0)), "")</f>
        <v/>
      </c>
      <c r="AB69" s="88" t="str">
        <f t="shared" si="0"/>
        <v/>
      </c>
      <c r="AC69">
        <v>56</v>
      </c>
      <c r="AE69" t="str">
        <f>IF(LISTADO_NOM!AK69="","",VLOOKUP(LISTADO_NOM!AK69,SEGUIMIENTOS,2,FALSE))</f>
        <v/>
      </c>
    </row>
    <row r="70" spans="1:31" x14ac:dyDescent="0.25">
      <c r="A70">
        <v>58</v>
      </c>
      <c r="P70" t="s">
        <v>235</v>
      </c>
      <c r="T70" t="s">
        <v>254</v>
      </c>
      <c r="U70" t="s">
        <v>320</v>
      </c>
      <c r="Z70" s="88" t="str">
        <f>IF(LISTADO_NOM!K70="","",DATE(LISTADO_NOM!M70,LISTADO_NOM!L70,LISTADO_NOM!K70))</f>
        <v/>
      </c>
      <c r="AA70" s="88" t="str">
        <f>IFERROR(INDEX($Z$14:$Z$300, MATCH(0, INDEX(COUNTIF($AA$13:AA69, $Z$14:$Z$300), 0, 0), 0)), "")</f>
        <v/>
      </c>
      <c r="AB70" s="88" t="str">
        <f t="shared" si="0"/>
        <v/>
      </c>
      <c r="AC70">
        <v>57</v>
      </c>
      <c r="AE70" t="str">
        <f>IF(LISTADO_NOM!AK70="","",VLOOKUP(LISTADO_NOM!AK70,SEGUIMIENTOS,2,FALSE))</f>
        <v/>
      </c>
    </row>
    <row r="71" spans="1:31" x14ac:dyDescent="0.25">
      <c r="A71">
        <v>59</v>
      </c>
      <c r="P71" t="s">
        <v>254</v>
      </c>
      <c r="T71" t="s">
        <v>236</v>
      </c>
      <c r="U71" t="s">
        <v>317</v>
      </c>
      <c r="Z71" s="88" t="str">
        <f>IF(LISTADO_NOM!K71="","",DATE(LISTADO_NOM!M71,LISTADO_NOM!L71,LISTADO_NOM!K71))</f>
        <v/>
      </c>
      <c r="AA71" s="88" t="str">
        <f>IFERROR(INDEX($Z$14:$Z$300, MATCH(0, INDEX(COUNTIF($AA$13:AA70, $Z$14:$Z$300), 0, 0), 0)), "")</f>
        <v/>
      </c>
      <c r="AB71" s="88" t="str">
        <f t="shared" si="0"/>
        <v/>
      </c>
      <c r="AC71">
        <v>58</v>
      </c>
      <c r="AE71" t="str">
        <f>IF(LISTADO_NOM!AK71="","",VLOOKUP(LISTADO_NOM!AK71,SEGUIMIENTOS,2,FALSE))</f>
        <v/>
      </c>
    </row>
    <row r="72" spans="1:31" x14ac:dyDescent="0.25">
      <c r="A72">
        <v>60</v>
      </c>
      <c r="P72" t="s">
        <v>236</v>
      </c>
      <c r="T72" t="s">
        <v>237</v>
      </c>
      <c r="U72" t="s">
        <v>311</v>
      </c>
      <c r="Z72" s="88" t="str">
        <f>IF(LISTADO_NOM!K72="","",DATE(LISTADO_NOM!M72,LISTADO_NOM!L72,LISTADO_NOM!K72))</f>
        <v/>
      </c>
      <c r="AA72" s="88" t="str">
        <f>IFERROR(INDEX($Z$14:$Z$300, MATCH(0, INDEX(COUNTIF($AA$13:AA71, $Z$14:$Z$300), 0, 0), 0)), "")</f>
        <v/>
      </c>
      <c r="AB72" s="88" t="str">
        <f t="shared" si="0"/>
        <v/>
      </c>
      <c r="AC72">
        <v>59</v>
      </c>
      <c r="AE72" t="str">
        <f>IF(LISTADO_NOM!AK72="","",VLOOKUP(LISTADO_NOM!AK72,SEGUIMIENTOS,2,FALSE))</f>
        <v/>
      </c>
    </row>
    <row r="73" spans="1:31" x14ac:dyDescent="0.25">
      <c r="A73">
        <v>61</v>
      </c>
      <c r="P73" t="s">
        <v>237</v>
      </c>
      <c r="T73" t="s">
        <v>238</v>
      </c>
      <c r="U73" t="s">
        <v>313</v>
      </c>
      <c r="Z73" s="88" t="str">
        <f>IF(LISTADO_NOM!K73="","",DATE(LISTADO_NOM!M73,LISTADO_NOM!L73,LISTADO_NOM!K73))</f>
        <v/>
      </c>
      <c r="AA73" s="88" t="str">
        <f>IFERROR(INDEX($Z$14:$Z$300, MATCH(0, INDEX(COUNTIF($AA$13:AA72, $Z$14:$Z$300), 0, 0), 0)), "")</f>
        <v/>
      </c>
      <c r="AB73" s="88" t="str">
        <f t="shared" si="0"/>
        <v/>
      </c>
      <c r="AC73">
        <v>60</v>
      </c>
      <c r="AE73" t="str">
        <f>IF(LISTADO_NOM!AK73="","",VLOOKUP(LISTADO_NOM!AK73,SEGUIMIENTOS,2,FALSE))</f>
        <v/>
      </c>
    </row>
    <row r="74" spans="1:31" x14ac:dyDescent="0.25">
      <c r="A74">
        <v>62</v>
      </c>
      <c r="P74" t="s">
        <v>238</v>
      </c>
      <c r="T74" t="s">
        <v>239</v>
      </c>
      <c r="U74" t="s">
        <v>309</v>
      </c>
      <c r="Z74" s="88" t="str">
        <f>IF(LISTADO_NOM!K74="","",DATE(LISTADO_NOM!M74,LISTADO_NOM!L74,LISTADO_NOM!K74))</f>
        <v/>
      </c>
      <c r="AA74" s="88" t="str">
        <f>IFERROR(INDEX($Z$14:$Z$300, MATCH(0, INDEX(COUNTIF($AA$13:AA73, $Z$14:$Z$300), 0, 0), 0)), "")</f>
        <v/>
      </c>
      <c r="AB74" s="88" t="str">
        <f t="shared" si="0"/>
        <v/>
      </c>
      <c r="AC74">
        <v>61</v>
      </c>
      <c r="AE74" t="str">
        <f>IF(LISTADO_NOM!AK74="","",VLOOKUP(LISTADO_NOM!AK74,SEGUIMIENTOS,2,FALSE))</f>
        <v/>
      </c>
    </row>
    <row r="75" spans="1:31" x14ac:dyDescent="0.25">
      <c r="A75">
        <v>63</v>
      </c>
      <c r="P75" t="s">
        <v>239</v>
      </c>
      <c r="T75" t="s">
        <v>240</v>
      </c>
      <c r="U75" t="s">
        <v>321</v>
      </c>
      <c r="Z75" s="88" t="str">
        <f>IF(LISTADO_NOM!K75="","",DATE(LISTADO_NOM!M75,LISTADO_NOM!L75,LISTADO_NOM!K75))</f>
        <v/>
      </c>
      <c r="AA75" s="88" t="str">
        <f>IFERROR(INDEX($Z$14:$Z$300, MATCH(0, INDEX(COUNTIF($AA$13:AA74, $Z$14:$Z$300), 0, 0), 0)), "")</f>
        <v/>
      </c>
      <c r="AB75" s="88" t="str">
        <f t="shared" si="0"/>
        <v/>
      </c>
      <c r="AC75">
        <v>62</v>
      </c>
      <c r="AE75" t="str">
        <f>IF(LISTADO_NOM!AK75="","",VLOOKUP(LISTADO_NOM!AK75,SEGUIMIENTOS,2,FALSE))</f>
        <v/>
      </c>
    </row>
    <row r="76" spans="1:31" x14ac:dyDescent="0.25">
      <c r="A76">
        <v>64</v>
      </c>
      <c r="P76" t="s">
        <v>240</v>
      </c>
      <c r="T76" t="s">
        <v>241</v>
      </c>
      <c r="U76" t="s">
        <v>320</v>
      </c>
      <c r="Z76" s="88" t="str">
        <f>IF(LISTADO_NOM!K76="","",DATE(LISTADO_NOM!M76,LISTADO_NOM!L76,LISTADO_NOM!K76))</f>
        <v/>
      </c>
      <c r="AA76" s="88" t="str">
        <f>IFERROR(INDEX($Z$14:$Z$300, MATCH(0, INDEX(COUNTIF($AA$13:AA75, $Z$14:$Z$300), 0, 0), 0)), "")</f>
        <v/>
      </c>
      <c r="AB76" s="88" t="str">
        <f t="shared" si="0"/>
        <v/>
      </c>
      <c r="AC76">
        <v>63</v>
      </c>
      <c r="AE76" t="str">
        <f>IF(LISTADO_NOM!AK76="","",VLOOKUP(LISTADO_NOM!AK76,SEGUIMIENTOS,2,FALSE))</f>
        <v/>
      </c>
    </row>
    <row r="77" spans="1:31" x14ac:dyDescent="0.25">
      <c r="A77">
        <v>65</v>
      </c>
      <c r="P77" t="s">
        <v>241</v>
      </c>
      <c r="T77" t="s">
        <v>242</v>
      </c>
      <c r="U77" t="s">
        <v>314</v>
      </c>
      <c r="Z77" s="88" t="str">
        <f>IF(LISTADO_NOM!K77="","",DATE(LISTADO_NOM!M77,LISTADO_NOM!L77,LISTADO_NOM!K77))</f>
        <v/>
      </c>
      <c r="AA77" s="88" t="str">
        <f>IFERROR(INDEX($Z$14:$Z$300, MATCH(0, INDEX(COUNTIF($AA$13:AA76, $Z$14:$Z$300), 0, 0), 0)), "")</f>
        <v/>
      </c>
      <c r="AB77" s="88" t="str">
        <f t="shared" si="0"/>
        <v/>
      </c>
      <c r="AC77">
        <v>64</v>
      </c>
      <c r="AE77" t="str">
        <f>IF(LISTADO_NOM!AK77="","",VLOOKUP(LISTADO_NOM!AK77,SEGUIMIENTOS,2,FALSE))</f>
        <v/>
      </c>
    </row>
    <row r="78" spans="1:31" x14ac:dyDescent="0.25">
      <c r="A78">
        <v>66</v>
      </c>
      <c r="P78" t="s">
        <v>242</v>
      </c>
      <c r="T78" t="s">
        <v>243</v>
      </c>
      <c r="U78" t="s">
        <v>312</v>
      </c>
      <c r="Z78" s="88" t="str">
        <f>IF(LISTADO_NOM!K78="","",DATE(LISTADO_NOM!M78,LISTADO_NOM!L78,LISTADO_NOM!K78))</f>
        <v/>
      </c>
      <c r="AA78" s="88" t="str">
        <f>IFERROR(INDEX($Z$14:$Z$300, MATCH(0, INDEX(COUNTIF($AA$13:AA77, $Z$14:$Z$300), 0, 0), 0)), "")</f>
        <v/>
      </c>
      <c r="AB78" s="88" t="str">
        <f t="shared" ref="AB78:AB141" si="1">IF(AA78="","",SMALL(ORDENA_,AC78))</f>
        <v/>
      </c>
      <c r="AC78">
        <v>65</v>
      </c>
      <c r="AE78" t="str">
        <f>IF(LISTADO_NOM!AK78="","",VLOOKUP(LISTADO_NOM!AK78,SEGUIMIENTOS,2,FALSE))</f>
        <v/>
      </c>
    </row>
    <row r="79" spans="1:31" x14ac:dyDescent="0.25">
      <c r="A79">
        <v>67</v>
      </c>
      <c r="P79" t="s">
        <v>243</v>
      </c>
      <c r="T79" t="s">
        <v>244</v>
      </c>
      <c r="U79" t="s">
        <v>322</v>
      </c>
      <c r="Z79" s="88" t="str">
        <f>IF(LISTADO_NOM!K79="","",DATE(LISTADO_NOM!M79,LISTADO_NOM!L79,LISTADO_NOM!K79))</f>
        <v/>
      </c>
      <c r="AA79" s="88" t="str">
        <f>IFERROR(INDEX($Z$14:$Z$300, MATCH(0, INDEX(COUNTIF($AA$13:AA78, $Z$14:$Z$300), 0, 0), 0)), "")</f>
        <v/>
      </c>
      <c r="AB79" s="88" t="str">
        <f t="shared" si="1"/>
        <v/>
      </c>
      <c r="AC79">
        <v>66</v>
      </c>
      <c r="AE79" t="str">
        <f>IF(LISTADO_NOM!AK79="","",VLOOKUP(LISTADO_NOM!AK79,SEGUIMIENTOS,2,FALSE))</f>
        <v/>
      </c>
    </row>
    <row r="80" spans="1:31" x14ac:dyDescent="0.25">
      <c r="A80">
        <v>68</v>
      </c>
      <c r="P80" t="s">
        <v>244</v>
      </c>
      <c r="T80" t="s">
        <v>255</v>
      </c>
      <c r="U80" t="s">
        <v>312</v>
      </c>
      <c r="Z80" s="88" t="str">
        <f>IF(LISTADO_NOM!K80="","",DATE(LISTADO_NOM!M80,LISTADO_NOM!L80,LISTADO_NOM!K80))</f>
        <v/>
      </c>
      <c r="AA80" s="88" t="str">
        <f>IFERROR(INDEX($Z$14:$Z$300, MATCH(0, INDEX(COUNTIF($AA$13:AA79, $Z$14:$Z$300), 0, 0), 0)), "")</f>
        <v/>
      </c>
      <c r="AB80" s="88" t="str">
        <f t="shared" si="1"/>
        <v/>
      </c>
      <c r="AC80">
        <v>67</v>
      </c>
      <c r="AE80" t="str">
        <f>IF(LISTADO_NOM!AK80="","",VLOOKUP(LISTADO_NOM!AK80,SEGUIMIENTOS,2,FALSE))</f>
        <v/>
      </c>
    </row>
    <row r="81" spans="1:31" x14ac:dyDescent="0.25">
      <c r="A81">
        <v>69</v>
      </c>
      <c r="P81" t="s">
        <v>255</v>
      </c>
      <c r="T81" t="s">
        <v>245</v>
      </c>
      <c r="U81" t="s">
        <v>322</v>
      </c>
      <c r="Z81" s="88" t="str">
        <f>IF(LISTADO_NOM!K81="","",DATE(LISTADO_NOM!M81,LISTADO_NOM!L81,LISTADO_NOM!K81))</f>
        <v/>
      </c>
      <c r="AA81" s="88" t="str">
        <f>IFERROR(INDEX($Z$14:$Z$300, MATCH(0, INDEX(COUNTIF($AA$13:AA80, $Z$14:$Z$300), 0, 0), 0)), "")</f>
        <v/>
      </c>
      <c r="AB81" s="88" t="str">
        <f t="shared" si="1"/>
        <v/>
      </c>
      <c r="AC81">
        <v>68</v>
      </c>
      <c r="AE81" t="str">
        <f>IF(LISTADO_NOM!AK81="","",VLOOKUP(LISTADO_NOM!AK81,SEGUIMIENTOS,2,FALSE))</f>
        <v/>
      </c>
    </row>
    <row r="82" spans="1:31" x14ac:dyDescent="0.25">
      <c r="A82">
        <v>70</v>
      </c>
      <c r="P82" t="s">
        <v>245</v>
      </c>
      <c r="T82" t="s">
        <v>246</v>
      </c>
      <c r="U82" t="s">
        <v>321</v>
      </c>
      <c r="Z82" s="88" t="str">
        <f>IF(LISTADO_NOM!K82="","",DATE(LISTADO_NOM!M82,LISTADO_NOM!L82,LISTADO_NOM!K82))</f>
        <v/>
      </c>
      <c r="AA82" s="88" t="str">
        <f>IFERROR(INDEX($Z$14:$Z$300, MATCH(0, INDEX(COUNTIF($AA$13:AA81, $Z$14:$Z$300), 0, 0), 0)), "")</f>
        <v/>
      </c>
      <c r="AB82" s="88" t="str">
        <f t="shared" si="1"/>
        <v/>
      </c>
      <c r="AC82">
        <v>69</v>
      </c>
      <c r="AE82" t="str">
        <f>IF(LISTADO_NOM!AK82="","",VLOOKUP(LISTADO_NOM!AK82,SEGUIMIENTOS,2,FALSE))</f>
        <v/>
      </c>
    </row>
    <row r="83" spans="1:31" x14ac:dyDescent="0.25">
      <c r="A83">
        <v>71</v>
      </c>
      <c r="P83" t="s">
        <v>246</v>
      </c>
      <c r="T83" t="s">
        <v>247</v>
      </c>
      <c r="U83" t="s">
        <v>321</v>
      </c>
      <c r="Z83" s="88" t="str">
        <f>IF(LISTADO_NOM!K83="","",DATE(LISTADO_NOM!M83,LISTADO_NOM!L83,LISTADO_NOM!K83))</f>
        <v/>
      </c>
      <c r="AA83" s="88" t="str">
        <f>IFERROR(INDEX($Z$14:$Z$300, MATCH(0, INDEX(COUNTIF($AA$13:AA82, $Z$14:$Z$300), 0, 0), 0)), "")</f>
        <v/>
      </c>
      <c r="AB83" s="88" t="str">
        <f t="shared" si="1"/>
        <v/>
      </c>
      <c r="AC83">
        <v>70</v>
      </c>
      <c r="AE83" t="str">
        <f>IF(LISTADO_NOM!AK83="","",VLOOKUP(LISTADO_NOM!AK83,SEGUIMIENTOS,2,FALSE))</f>
        <v/>
      </c>
    </row>
    <row r="84" spans="1:31" x14ac:dyDescent="0.25">
      <c r="A84">
        <v>72</v>
      </c>
      <c r="P84" t="s">
        <v>247</v>
      </c>
      <c r="T84" t="s">
        <v>248</v>
      </c>
      <c r="U84" t="s">
        <v>319</v>
      </c>
      <c r="Z84" s="88" t="str">
        <f>IF(LISTADO_NOM!K84="","",DATE(LISTADO_NOM!M84,LISTADO_NOM!L84,LISTADO_NOM!K84))</f>
        <v/>
      </c>
      <c r="AA84" s="88" t="str">
        <f>IFERROR(INDEX($Z$14:$Z$300, MATCH(0, INDEX(COUNTIF($AA$13:AA83, $Z$14:$Z$300), 0, 0), 0)), "")</f>
        <v/>
      </c>
      <c r="AB84" s="88" t="str">
        <f t="shared" si="1"/>
        <v/>
      </c>
      <c r="AC84">
        <v>71</v>
      </c>
      <c r="AE84" t="str">
        <f>IF(LISTADO_NOM!AK84="","",VLOOKUP(LISTADO_NOM!AK84,SEGUIMIENTOS,2,FALSE))</f>
        <v/>
      </c>
    </row>
    <row r="85" spans="1:31" x14ac:dyDescent="0.25">
      <c r="A85">
        <v>73</v>
      </c>
      <c r="P85" t="s">
        <v>248</v>
      </c>
      <c r="Z85" s="88" t="str">
        <f>IF(LISTADO_NOM!K85="","",DATE(LISTADO_NOM!M85,LISTADO_NOM!L85,LISTADO_NOM!K85))</f>
        <v/>
      </c>
      <c r="AA85" s="88" t="str">
        <f>IFERROR(INDEX($Z$14:$Z$300, MATCH(0, INDEX(COUNTIF($AA$13:AA84, $Z$14:$Z$300), 0, 0), 0)), "")</f>
        <v/>
      </c>
      <c r="AB85" s="88" t="str">
        <f t="shared" si="1"/>
        <v/>
      </c>
      <c r="AC85">
        <v>72</v>
      </c>
      <c r="AE85" t="str">
        <f>IF(LISTADO_NOM!AK85="","",VLOOKUP(LISTADO_NOM!AK85,SEGUIMIENTOS,2,FALSE))</f>
        <v/>
      </c>
    </row>
    <row r="86" spans="1:31" x14ac:dyDescent="0.25">
      <c r="A86">
        <v>74</v>
      </c>
      <c r="Z86" s="88" t="str">
        <f>IF(LISTADO_NOM!K86="","",DATE(LISTADO_NOM!M86,LISTADO_NOM!L86,LISTADO_NOM!K86))</f>
        <v/>
      </c>
      <c r="AA86" s="88" t="str">
        <f>IFERROR(INDEX($Z$14:$Z$300, MATCH(0, INDEX(COUNTIF($AA$13:AA85, $Z$14:$Z$300), 0, 0), 0)), "")</f>
        <v/>
      </c>
      <c r="AB86" s="88" t="str">
        <f t="shared" si="1"/>
        <v/>
      </c>
      <c r="AC86">
        <v>73</v>
      </c>
      <c r="AE86" t="str">
        <f>IF(LISTADO_NOM!AK86="","",VLOOKUP(LISTADO_NOM!AK86,SEGUIMIENTOS,2,FALSE))</f>
        <v/>
      </c>
    </row>
    <row r="87" spans="1:31" x14ac:dyDescent="0.25">
      <c r="A87">
        <v>75</v>
      </c>
      <c r="Z87" s="88" t="str">
        <f>IF(LISTADO_NOM!K87="","",DATE(LISTADO_NOM!M87,LISTADO_NOM!L87,LISTADO_NOM!K87))</f>
        <v/>
      </c>
      <c r="AA87" s="88" t="str">
        <f>IFERROR(INDEX($Z$14:$Z$300, MATCH(0, INDEX(COUNTIF($AA$13:AA86, $Z$14:$Z$300), 0, 0), 0)), "")</f>
        <v/>
      </c>
      <c r="AB87" s="88" t="str">
        <f t="shared" si="1"/>
        <v/>
      </c>
      <c r="AC87">
        <v>74</v>
      </c>
      <c r="AE87" t="str">
        <f>IF(LISTADO_NOM!AK87="","",VLOOKUP(LISTADO_NOM!AK87,SEGUIMIENTOS,2,FALSE))</f>
        <v/>
      </c>
    </row>
    <row r="88" spans="1:31" x14ac:dyDescent="0.25">
      <c r="A88">
        <v>76</v>
      </c>
      <c r="Z88" s="88" t="str">
        <f>IF(LISTADO_NOM!K88="","",DATE(LISTADO_NOM!M88,LISTADO_NOM!L88,LISTADO_NOM!K88))</f>
        <v/>
      </c>
      <c r="AA88" s="88" t="str">
        <f>IFERROR(INDEX($Z$14:$Z$300, MATCH(0, INDEX(COUNTIF($AA$13:AA87, $Z$14:$Z$300), 0, 0), 0)), "")</f>
        <v/>
      </c>
      <c r="AB88" s="88" t="str">
        <f t="shared" si="1"/>
        <v/>
      </c>
      <c r="AC88">
        <v>75</v>
      </c>
      <c r="AE88" t="str">
        <f>IF(LISTADO_NOM!AK88="","",VLOOKUP(LISTADO_NOM!AK88,SEGUIMIENTOS,2,FALSE))</f>
        <v/>
      </c>
    </row>
    <row r="89" spans="1:31" x14ac:dyDescent="0.25">
      <c r="A89">
        <v>77</v>
      </c>
      <c r="Z89" s="88" t="str">
        <f>IF(LISTADO_NOM!K89="","",DATE(LISTADO_NOM!M89,LISTADO_NOM!L89,LISTADO_NOM!K89))</f>
        <v/>
      </c>
      <c r="AA89" s="88" t="str">
        <f>IFERROR(INDEX($Z$14:$Z$300, MATCH(0, INDEX(COUNTIF($AA$13:AA88, $Z$14:$Z$300), 0, 0), 0)), "")</f>
        <v/>
      </c>
      <c r="AB89" s="88" t="str">
        <f t="shared" si="1"/>
        <v/>
      </c>
      <c r="AC89">
        <v>76</v>
      </c>
      <c r="AE89" t="str">
        <f>IF(LISTADO_NOM!AK89="","",VLOOKUP(LISTADO_NOM!AK89,SEGUIMIENTOS,2,FALSE))</f>
        <v/>
      </c>
    </row>
    <row r="90" spans="1:31" x14ac:dyDescent="0.25">
      <c r="A90">
        <v>78</v>
      </c>
      <c r="Z90" s="88" t="str">
        <f>IF(LISTADO_NOM!K90="","",DATE(LISTADO_NOM!M90,LISTADO_NOM!L90,LISTADO_NOM!K90))</f>
        <v/>
      </c>
      <c r="AA90" s="88" t="str">
        <f>IFERROR(INDEX($Z$14:$Z$300, MATCH(0, INDEX(COUNTIF($AA$13:AA89, $Z$14:$Z$300), 0, 0), 0)), "")</f>
        <v/>
      </c>
      <c r="AB90" s="88" t="str">
        <f t="shared" si="1"/>
        <v/>
      </c>
      <c r="AC90">
        <v>77</v>
      </c>
      <c r="AE90" t="str">
        <f>IF(LISTADO_NOM!AK90="","",VLOOKUP(LISTADO_NOM!AK90,SEGUIMIENTOS,2,FALSE))</f>
        <v/>
      </c>
    </row>
    <row r="91" spans="1:31" x14ac:dyDescent="0.25">
      <c r="A91">
        <v>79</v>
      </c>
      <c r="Z91" s="88" t="str">
        <f>IF(LISTADO_NOM!K91="","",DATE(LISTADO_NOM!M91,LISTADO_NOM!L91,LISTADO_NOM!K91))</f>
        <v/>
      </c>
      <c r="AA91" s="88" t="str">
        <f>IFERROR(INDEX($Z$14:$Z$300, MATCH(0, INDEX(COUNTIF($AA$13:AA90, $Z$14:$Z$300), 0, 0), 0)), "")</f>
        <v/>
      </c>
      <c r="AB91" s="88" t="str">
        <f t="shared" si="1"/>
        <v/>
      </c>
      <c r="AC91">
        <v>78</v>
      </c>
      <c r="AE91" t="str">
        <f>IF(LISTADO_NOM!AK91="","",VLOOKUP(LISTADO_NOM!AK91,SEGUIMIENTOS,2,FALSE))</f>
        <v/>
      </c>
    </row>
    <row r="92" spans="1:31" x14ac:dyDescent="0.25">
      <c r="A92">
        <v>80</v>
      </c>
      <c r="Z92" s="88" t="str">
        <f>IF(LISTADO_NOM!K92="","",DATE(LISTADO_NOM!M92,LISTADO_NOM!L92,LISTADO_NOM!K92))</f>
        <v/>
      </c>
      <c r="AA92" s="88" t="str">
        <f>IFERROR(INDEX($Z$14:$Z$300, MATCH(0, INDEX(COUNTIF($AA$13:AA91, $Z$14:$Z$300), 0, 0), 0)), "")</f>
        <v/>
      </c>
      <c r="AB92" s="88" t="str">
        <f t="shared" si="1"/>
        <v/>
      </c>
      <c r="AC92">
        <v>79</v>
      </c>
      <c r="AE92" t="str">
        <f>IF(LISTADO_NOM!AK92="","",VLOOKUP(LISTADO_NOM!AK92,SEGUIMIENTOS,2,FALSE))</f>
        <v/>
      </c>
    </row>
    <row r="93" spans="1:31" x14ac:dyDescent="0.25">
      <c r="A93">
        <v>81</v>
      </c>
      <c r="Z93" s="88" t="str">
        <f>IF(LISTADO_NOM!K93="","",DATE(LISTADO_NOM!M93,LISTADO_NOM!L93,LISTADO_NOM!K93))</f>
        <v/>
      </c>
      <c r="AA93" s="88" t="str">
        <f>IFERROR(INDEX($Z$14:$Z$300, MATCH(0, INDEX(COUNTIF($AA$13:AA92, $Z$14:$Z$300), 0, 0), 0)), "")</f>
        <v/>
      </c>
      <c r="AB93" s="88" t="str">
        <f t="shared" si="1"/>
        <v/>
      </c>
      <c r="AC93">
        <v>80</v>
      </c>
      <c r="AE93" t="str">
        <f>IF(LISTADO_NOM!AK93="","",VLOOKUP(LISTADO_NOM!AK93,SEGUIMIENTOS,2,FALSE))</f>
        <v/>
      </c>
    </row>
    <row r="94" spans="1:31" x14ac:dyDescent="0.25">
      <c r="A94">
        <v>82</v>
      </c>
      <c r="Z94" s="88" t="str">
        <f>IF(LISTADO_NOM!K94="","",DATE(LISTADO_NOM!M94,LISTADO_NOM!L94,LISTADO_NOM!K94))</f>
        <v/>
      </c>
      <c r="AA94" s="88" t="str">
        <f>IFERROR(INDEX($Z$14:$Z$300, MATCH(0, INDEX(COUNTIF($AA$13:AA93, $Z$14:$Z$300), 0, 0), 0)), "")</f>
        <v/>
      </c>
      <c r="AB94" s="88" t="str">
        <f t="shared" si="1"/>
        <v/>
      </c>
      <c r="AC94">
        <v>81</v>
      </c>
      <c r="AE94" t="str">
        <f>IF(LISTADO_NOM!AK94="","",VLOOKUP(LISTADO_NOM!AK94,SEGUIMIENTOS,2,FALSE))</f>
        <v/>
      </c>
    </row>
    <row r="95" spans="1:31" x14ac:dyDescent="0.25">
      <c r="A95">
        <v>83</v>
      </c>
      <c r="Z95" s="88" t="str">
        <f>IF(LISTADO_NOM!K95="","",DATE(LISTADO_NOM!M95,LISTADO_NOM!L95,LISTADO_NOM!K95))</f>
        <v/>
      </c>
      <c r="AA95" s="88" t="str">
        <f>IFERROR(INDEX($Z$14:$Z$300, MATCH(0, INDEX(COUNTIF($AA$13:AA94, $Z$14:$Z$300), 0, 0), 0)), "")</f>
        <v/>
      </c>
      <c r="AB95" s="88" t="str">
        <f t="shared" si="1"/>
        <v/>
      </c>
      <c r="AC95">
        <v>82</v>
      </c>
      <c r="AE95" t="str">
        <f>IF(LISTADO_NOM!AK95="","",VLOOKUP(LISTADO_NOM!AK95,SEGUIMIENTOS,2,FALSE))</f>
        <v/>
      </c>
    </row>
    <row r="96" spans="1:31" x14ac:dyDescent="0.25">
      <c r="A96">
        <v>84</v>
      </c>
      <c r="Z96" s="88" t="str">
        <f>IF(LISTADO_NOM!K96="","",DATE(LISTADO_NOM!M96,LISTADO_NOM!L96,LISTADO_NOM!K96))</f>
        <v/>
      </c>
      <c r="AA96" s="88" t="str">
        <f>IFERROR(INDEX($Z$14:$Z$300, MATCH(0, INDEX(COUNTIF($AA$13:AA95, $Z$14:$Z$300), 0, 0), 0)), "")</f>
        <v/>
      </c>
      <c r="AB96" s="88" t="str">
        <f t="shared" si="1"/>
        <v/>
      </c>
      <c r="AC96">
        <v>83</v>
      </c>
      <c r="AE96" t="str">
        <f>IF(LISTADO_NOM!AK96="","",VLOOKUP(LISTADO_NOM!AK96,SEGUIMIENTOS,2,FALSE))</f>
        <v/>
      </c>
    </row>
    <row r="97" spans="1:31" x14ac:dyDescent="0.25">
      <c r="A97">
        <v>85</v>
      </c>
      <c r="Z97" s="88" t="str">
        <f>IF(LISTADO_NOM!K97="","",DATE(LISTADO_NOM!M97,LISTADO_NOM!L97,LISTADO_NOM!K97))</f>
        <v/>
      </c>
      <c r="AA97" s="88" t="str">
        <f>IFERROR(INDEX($Z$14:$Z$300, MATCH(0, INDEX(COUNTIF($AA$13:AA96, $Z$14:$Z$300), 0, 0), 0)), "")</f>
        <v/>
      </c>
      <c r="AB97" s="88" t="str">
        <f t="shared" si="1"/>
        <v/>
      </c>
      <c r="AC97">
        <v>84</v>
      </c>
      <c r="AE97" t="str">
        <f>IF(LISTADO_NOM!AK97="","",VLOOKUP(LISTADO_NOM!AK97,SEGUIMIENTOS,2,FALSE))</f>
        <v/>
      </c>
    </row>
    <row r="98" spans="1:31" x14ac:dyDescent="0.25">
      <c r="A98">
        <v>86</v>
      </c>
      <c r="Z98" s="88" t="str">
        <f>IF(LISTADO_NOM!K98="","",DATE(LISTADO_NOM!M98,LISTADO_NOM!L98,LISTADO_NOM!K98))</f>
        <v/>
      </c>
      <c r="AA98" s="88" t="str">
        <f>IFERROR(INDEX($Z$14:$Z$300, MATCH(0, INDEX(COUNTIF($AA$13:AA97, $Z$14:$Z$300), 0, 0), 0)), "")</f>
        <v/>
      </c>
      <c r="AB98" s="88" t="str">
        <f t="shared" si="1"/>
        <v/>
      </c>
      <c r="AC98">
        <v>85</v>
      </c>
      <c r="AE98" t="str">
        <f>IF(LISTADO_NOM!AK98="","",VLOOKUP(LISTADO_NOM!AK98,SEGUIMIENTOS,2,FALSE))</f>
        <v/>
      </c>
    </row>
    <row r="99" spans="1:31" x14ac:dyDescent="0.25">
      <c r="A99">
        <v>87</v>
      </c>
      <c r="Z99" s="88" t="str">
        <f>IF(LISTADO_NOM!K99="","",DATE(LISTADO_NOM!M99,LISTADO_NOM!L99,LISTADO_NOM!K99))</f>
        <v/>
      </c>
      <c r="AA99" s="88" t="str">
        <f>IFERROR(INDEX($Z$14:$Z$300, MATCH(0, INDEX(COUNTIF($AA$13:AA98, $Z$14:$Z$300), 0, 0), 0)), "")</f>
        <v/>
      </c>
      <c r="AB99" s="88" t="str">
        <f t="shared" si="1"/>
        <v/>
      </c>
      <c r="AC99">
        <v>86</v>
      </c>
      <c r="AE99" t="str">
        <f>IF(LISTADO_NOM!AK99="","",VLOOKUP(LISTADO_NOM!AK99,SEGUIMIENTOS,2,FALSE))</f>
        <v/>
      </c>
    </row>
    <row r="100" spans="1:31" x14ac:dyDescent="0.25">
      <c r="A100">
        <v>88</v>
      </c>
      <c r="Z100" s="88" t="str">
        <f>IF(LISTADO_NOM!K100="","",DATE(LISTADO_NOM!M100,LISTADO_NOM!L100,LISTADO_NOM!K100))</f>
        <v/>
      </c>
      <c r="AA100" s="88" t="str">
        <f>IFERROR(INDEX($Z$14:$Z$300, MATCH(0, INDEX(COUNTIF($AA$13:AA99, $Z$14:$Z$300), 0, 0), 0)), "")</f>
        <v/>
      </c>
      <c r="AB100" s="88" t="str">
        <f t="shared" si="1"/>
        <v/>
      </c>
      <c r="AC100">
        <v>87</v>
      </c>
      <c r="AE100" t="str">
        <f>IF(LISTADO_NOM!AK100="","",VLOOKUP(LISTADO_NOM!AK100,SEGUIMIENTOS,2,FALSE))</f>
        <v/>
      </c>
    </row>
    <row r="101" spans="1:31" x14ac:dyDescent="0.25">
      <c r="A101">
        <v>89</v>
      </c>
      <c r="Z101" s="88" t="str">
        <f>IF(LISTADO_NOM!K101="","",DATE(LISTADO_NOM!M101,LISTADO_NOM!L101,LISTADO_NOM!K101))</f>
        <v/>
      </c>
      <c r="AA101" s="88" t="str">
        <f>IFERROR(INDEX($Z$14:$Z$300, MATCH(0, INDEX(COUNTIF($AA$13:AA100, $Z$14:$Z$300), 0, 0), 0)), "")</f>
        <v/>
      </c>
      <c r="AB101" s="88" t="str">
        <f t="shared" si="1"/>
        <v/>
      </c>
      <c r="AC101">
        <v>88</v>
      </c>
      <c r="AE101" t="str">
        <f>IF(LISTADO_NOM!AK101="","",VLOOKUP(LISTADO_NOM!AK101,SEGUIMIENTOS,2,FALSE))</f>
        <v/>
      </c>
    </row>
    <row r="102" spans="1:31" x14ac:dyDescent="0.25">
      <c r="A102">
        <v>90</v>
      </c>
      <c r="Z102" s="88" t="str">
        <f>IF(LISTADO_NOM!K102="","",DATE(LISTADO_NOM!M102,LISTADO_NOM!L102,LISTADO_NOM!K102))</f>
        <v/>
      </c>
      <c r="AA102" s="88" t="str">
        <f>IFERROR(INDEX($Z$14:$Z$300, MATCH(0, INDEX(COUNTIF($AA$13:AA101, $Z$14:$Z$300), 0, 0), 0)), "")</f>
        <v/>
      </c>
      <c r="AB102" s="88" t="str">
        <f t="shared" si="1"/>
        <v/>
      </c>
      <c r="AC102">
        <v>89</v>
      </c>
      <c r="AE102" t="str">
        <f>IF(LISTADO_NOM!AK102="","",VLOOKUP(LISTADO_NOM!AK102,SEGUIMIENTOS,2,FALSE))</f>
        <v/>
      </c>
    </row>
    <row r="103" spans="1:31" x14ac:dyDescent="0.25">
      <c r="A103">
        <v>91</v>
      </c>
      <c r="Z103" s="88" t="str">
        <f>IF(LISTADO_NOM!K103="","",DATE(LISTADO_NOM!M103,LISTADO_NOM!L103,LISTADO_NOM!K103))</f>
        <v/>
      </c>
      <c r="AA103" s="88" t="str">
        <f>IFERROR(INDEX($Z$14:$Z$300, MATCH(0, INDEX(COUNTIF($AA$13:AA102, $Z$14:$Z$300), 0, 0), 0)), "")</f>
        <v/>
      </c>
      <c r="AB103" s="88" t="str">
        <f t="shared" si="1"/>
        <v/>
      </c>
      <c r="AC103">
        <v>90</v>
      </c>
      <c r="AE103" t="str">
        <f>IF(LISTADO_NOM!AK103="","",VLOOKUP(LISTADO_NOM!AK103,SEGUIMIENTOS,2,FALSE))</f>
        <v/>
      </c>
    </row>
    <row r="104" spans="1:31" x14ac:dyDescent="0.25">
      <c r="A104">
        <v>92</v>
      </c>
      <c r="Z104" s="88" t="str">
        <f>IF(LISTADO_NOM!K104="","",DATE(LISTADO_NOM!M104,LISTADO_NOM!L104,LISTADO_NOM!K104))</f>
        <v/>
      </c>
      <c r="AA104" s="88" t="str">
        <f>IFERROR(INDEX($Z$14:$Z$300, MATCH(0, INDEX(COUNTIF($AA$13:AA103, $Z$14:$Z$300), 0, 0), 0)), "")</f>
        <v/>
      </c>
      <c r="AB104" s="88" t="str">
        <f t="shared" si="1"/>
        <v/>
      </c>
      <c r="AC104">
        <v>91</v>
      </c>
      <c r="AE104" t="str">
        <f>IF(LISTADO_NOM!AK104="","",VLOOKUP(LISTADO_NOM!AK104,SEGUIMIENTOS,2,FALSE))</f>
        <v/>
      </c>
    </row>
    <row r="105" spans="1:31" x14ac:dyDescent="0.25">
      <c r="A105">
        <v>93</v>
      </c>
      <c r="Z105" s="88" t="str">
        <f>IF(LISTADO_NOM!K105="","",DATE(LISTADO_NOM!M105,LISTADO_NOM!L105,LISTADO_NOM!K105))</f>
        <v/>
      </c>
      <c r="AA105" s="88" t="str">
        <f>IFERROR(INDEX($Z$14:$Z$300, MATCH(0, INDEX(COUNTIF($AA$13:AA104, $Z$14:$Z$300), 0, 0), 0)), "")</f>
        <v/>
      </c>
      <c r="AB105" s="88" t="str">
        <f t="shared" si="1"/>
        <v/>
      </c>
      <c r="AC105">
        <v>92</v>
      </c>
      <c r="AE105" t="str">
        <f>IF(LISTADO_NOM!AK105="","",VLOOKUP(LISTADO_NOM!AK105,SEGUIMIENTOS,2,FALSE))</f>
        <v/>
      </c>
    </row>
    <row r="106" spans="1:31" x14ac:dyDescent="0.25">
      <c r="A106">
        <v>94</v>
      </c>
      <c r="Z106" s="88" t="str">
        <f>IF(LISTADO_NOM!K106="","",DATE(LISTADO_NOM!M106,LISTADO_NOM!L106,LISTADO_NOM!K106))</f>
        <v/>
      </c>
      <c r="AA106" s="88" t="str">
        <f>IFERROR(INDEX($Z$14:$Z$300, MATCH(0, INDEX(COUNTIF($AA$13:AA105, $Z$14:$Z$300), 0, 0), 0)), "")</f>
        <v/>
      </c>
      <c r="AB106" s="88" t="str">
        <f t="shared" si="1"/>
        <v/>
      </c>
      <c r="AC106">
        <v>93</v>
      </c>
      <c r="AE106" t="str">
        <f>IF(LISTADO_NOM!AK106="","",VLOOKUP(LISTADO_NOM!AK106,SEGUIMIENTOS,2,FALSE))</f>
        <v/>
      </c>
    </row>
    <row r="107" spans="1:31" x14ac:dyDescent="0.25">
      <c r="A107">
        <v>95</v>
      </c>
      <c r="Z107" s="88" t="str">
        <f>IF(LISTADO_NOM!K107="","",DATE(LISTADO_NOM!M107,LISTADO_NOM!L107,LISTADO_NOM!K107))</f>
        <v/>
      </c>
      <c r="AA107" s="88" t="str">
        <f>IFERROR(INDEX($Z$14:$Z$300, MATCH(0, INDEX(COUNTIF($AA$13:AA106, $Z$14:$Z$300), 0, 0), 0)), "")</f>
        <v/>
      </c>
      <c r="AB107" s="88" t="str">
        <f t="shared" si="1"/>
        <v/>
      </c>
      <c r="AC107">
        <v>94</v>
      </c>
      <c r="AE107" t="str">
        <f>IF(LISTADO_NOM!AK107="","",VLOOKUP(LISTADO_NOM!AK107,SEGUIMIENTOS,2,FALSE))</f>
        <v/>
      </c>
    </row>
    <row r="108" spans="1:31" x14ac:dyDescent="0.25">
      <c r="A108">
        <v>96</v>
      </c>
      <c r="Z108" s="88" t="str">
        <f>IF(LISTADO_NOM!K108="","",DATE(LISTADO_NOM!M108,LISTADO_NOM!L108,LISTADO_NOM!K108))</f>
        <v/>
      </c>
      <c r="AA108" s="88" t="str">
        <f>IFERROR(INDEX($Z$14:$Z$300, MATCH(0, INDEX(COUNTIF($AA$13:AA107, $Z$14:$Z$300), 0, 0), 0)), "")</f>
        <v/>
      </c>
      <c r="AB108" s="88" t="str">
        <f t="shared" si="1"/>
        <v/>
      </c>
      <c r="AC108">
        <v>95</v>
      </c>
      <c r="AE108" t="str">
        <f>IF(LISTADO_NOM!AK108="","",VLOOKUP(LISTADO_NOM!AK108,SEGUIMIENTOS,2,FALSE))</f>
        <v/>
      </c>
    </row>
    <row r="109" spans="1:31" x14ac:dyDescent="0.25">
      <c r="A109">
        <v>97</v>
      </c>
      <c r="Z109" s="88" t="str">
        <f>IF(LISTADO_NOM!K109="","",DATE(LISTADO_NOM!M109,LISTADO_NOM!L109,LISTADO_NOM!K109))</f>
        <v/>
      </c>
      <c r="AA109" s="88" t="str">
        <f>IFERROR(INDEX($Z$14:$Z$300, MATCH(0, INDEX(COUNTIF($AA$13:AA108, $Z$14:$Z$300), 0, 0), 0)), "")</f>
        <v/>
      </c>
      <c r="AB109" s="88" t="str">
        <f t="shared" si="1"/>
        <v/>
      </c>
      <c r="AC109">
        <v>96</v>
      </c>
      <c r="AE109" t="str">
        <f>IF(LISTADO_NOM!AK109="","",VLOOKUP(LISTADO_NOM!AK109,SEGUIMIENTOS,2,FALSE))</f>
        <v/>
      </c>
    </row>
    <row r="110" spans="1:31" x14ac:dyDescent="0.25">
      <c r="A110">
        <v>98</v>
      </c>
      <c r="Z110" s="88" t="str">
        <f>IF(LISTADO_NOM!K110="","",DATE(LISTADO_NOM!M110,LISTADO_NOM!L110,LISTADO_NOM!K110))</f>
        <v/>
      </c>
      <c r="AA110" s="88" t="str">
        <f>IFERROR(INDEX($Z$14:$Z$300, MATCH(0, INDEX(COUNTIF($AA$13:AA109, $Z$14:$Z$300), 0, 0), 0)), "")</f>
        <v/>
      </c>
      <c r="AB110" s="88" t="str">
        <f t="shared" si="1"/>
        <v/>
      </c>
      <c r="AC110">
        <v>97</v>
      </c>
      <c r="AE110" t="str">
        <f>IF(LISTADO_NOM!AK110="","",VLOOKUP(LISTADO_NOM!AK110,SEGUIMIENTOS,2,FALSE))</f>
        <v/>
      </c>
    </row>
    <row r="111" spans="1:31" x14ac:dyDescent="0.25">
      <c r="A111">
        <v>99</v>
      </c>
      <c r="Z111" s="88" t="str">
        <f>IF(LISTADO_NOM!K111="","",DATE(LISTADO_NOM!M111,LISTADO_NOM!L111,LISTADO_NOM!K111))</f>
        <v/>
      </c>
      <c r="AA111" s="88" t="str">
        <f>IFERROR(INDEX($Z$14:$Z$300, MATCH(0, INDEX(COUNTIF($AA$13:AA110, $Z$14:$Z$300), 0, 0), 0)), "")</f>
        <v/>
      </c>
      <c r="AB111" s="88" t="str">
        <f t="shared" si="1"/>
        <v/>
      </c>
      <c r="AC111">
        <v>98</v>
      </c>
      <c r="AE111" t="str">
        <f>IF(LISTADO_NOM!AK111="","",VLOOKUP(LISTADO_NOM!AK111,SEGUIMIENTOS,2,FALSE))</f>
        <v/>
      </c>
    </row>
    <row r="112" spans="1:31" x14ac:dyDescent="0.25">
      <c r="A112">
        <v>100</v>
      </c>
      <c r="Z112" s="88" t="str">
        <f>IF(LISTADO_NOM!K112="","",DATE(LISTADO_NOM!M112,LISTADO_NOM!L112,LISTADO_NOM!K112))</f>
        <v/>
      </c>
      <c r="AA112" s="88" t="str">
        <f>IFERROR(INDEX($Z$14:$Z$300, MATCH(0, INDEX(COUNTIF($AA$13:AA111, $Z$14:$Z$300), 0, 0), 0)), "")</f>
        <v/>
      </c>
      <c r="AB112" s="88" t="str">
        <f t="shared" si="1"/>
        <v/>
      </c>
      <c r="AC112">
        <v>99</v>
      </c>
      <c r="AE112" t="str">
        <f>IF(LISTADO_NOM!AK112="","",VLOOKUP(LISTADO_NOM!AK112,SEGUIMIENTOS,2,FALSE))</f>
        <v/>
      </c>
    </row>
    <row r="113" spans="26:31" x14ac:dyDescent="0.25">
      <c r="Z113" s="88" t="str">
        <f>IF(LISTADO_NOM!K113="","",DATE(LISTADO_NOM!M113,LISTADO_NOM!L113,LISTADO_NOM!K113))</f>
        <v/>
      </c>
      <c r="AA113" s="88" t="str">
        <f>IFERROR(INDEX($Z$14:$Z$300, MATCH(0, INDEX(COUNTIF($AA$13:AA112, $Z$14:$Z$300), 0, 0), 0)), "")</f>
        <v/>
      </c>
      <c r="AB113" s="88" t="str">
        <f t="shared" si="1"/>
        <v/>
      </c>
      <c r="AC113">
        <v>100</v>
      </c>
      <c r="AE113" t="str">
        <f>IF(LISTADO_NOM!AK113="","",VLOOKUP(LISTADO_NOM!AK113,SEGUIMIENTOS,2,FALSE))</f>
        <v/>
      </c>
    </row>
    <row r="114" spans="26:31" x14ac:dyDescent="0.25">
      <c r="Z114" s="88" t="str">
        <f>IF(LISTADO_NOM!K114="","",DATE(LISTADO_NOM!M114,LISTADO_NOM!L114,LISTADO_NOM!K114))</f>
        <v/>
      </c>
      <c r="AA114" s="88" t="str">
        <f>IFERROR(INDEX($Z$14:$Z$300, MATCH(0, INDEX(COUNTIF($AA$13:AA113, $Z$14:$Z$300), 0, 0), 0)), "")</f>
        <v/>
      </c>
      <c r="AB114" s="88" t="str">
        <f t="shared" si="1"/>
        <v/>
      </c>
      <c r="AC114">
        <v>101</v>
      </c>
      <c r="AE114" t="str">
        <f>IF(LISTADO_NOM!AK114="","",VLOOKUP(LISTADO_NOM!AK114,SEGUIMIENTOS,2,FALSE))</f>
        <v/>
      </c>
    </row>
    <row r="115" spans="26:31" x14ac:dyDescent="0.25">
      <c r="Z115" s="88" t="str">
        <f>IF(LISTADO_NOM!K115="","",DATE(LISTADO_NOM!M115,LISTADO_NOM!L115,LISTADO_NOM!K115))</f>
        <v/>
      </c>
      <c r="AA115" s="88" t="str">
        <f>IFERROR(INDEX($Z$14:$Z$300, MATCH(0, INDEX(COUNTIF($AA$13:AA114, $Z$14:$Z$300), 0, 0), 0)), "")</f>
        <v/>
      </c>
      <c r="AB115" s="88" t="str">
        <f t="shared" si="1"/>
        <v/>
      </c>
      <c r="AC115">
        <v>102</v>
      </c>
      <c r="AE115" t="str">
        <f>IF(LISTADO_NOM!AK115="","",VLOOKUP(LISTADO_NOM!AK115,SEGUIMIENTOS,2,FALSE))</f>
        <v/>
      </c>
    </row>
    <row r="116" spans="26:31" x14ac:dyDescent="0.25">
      <c r="Z116" s="88" t="str">
        <f>IF(LISTADO_NOM!K116="","",DATE(LISTADO_NOM!M116,LISTADO_NOM!L116,LISTADO_NOM!K116))</f>
        <v/>
      </c>
      <c r="AA116" s="88" t="str">
        <f>IFERROR(INDEX($Z$14:$Z$300, MATCH(0, INDEX(COUNTIF($AA$13:AA115, $Z$14:$Z$300), 0, 0), 0)), "")</f>
        <v/>
      </c>
      <c r="AB116" s="88" t="str">
        <f t="shared" si="1"/>
        <v/>
      </c>
      <c r="AC116">
        <v>103</v>
      </c>
      <c r="AE116" t="str">
        <f>IF(LISTADO_NOM!AK116="","",VLOOKUP(LISTADO_NOM!AK116,SEGUIMIENTOS,2,FALSE))</f>
        <v/>
      </c>
    </row>
    <row r="117" spans="26:31" x14ac:dyDescent="0.25">
      <c r="Z117" s="88" t="str">
        <f>IF(LISTADO_NOM!K117="","",DATE(LISTADO_NOM!M117,LISTADO_NOM!L117,LISTADO_NOM!K117))</f>
        <v/>
      </c>
      <c r="AA117" s="88" t="str">
        <f>IFERROR(INDEX($Z$14:$Z$300, MATCH(0, INDEX(COUNTIF($AA$13:AA116, $Z$14:$Z$300), 0, 0), 0)), "")</f>
        <v/>
      </c>
      <c r="AB117" s="88" t="str">
        <f t="shared" si="1"/>
        <v/>
      </c>
      <c r="AC117">
        <v>104</v>
      </c>
      <c r="AE117" t="str">
        <f>IF(LISTADO_NOM!AK117="","",VLOOKUP(LISTADO_NOM!AK117,SEGUIMIENTOS,2,FALSE))</f>
        <v/>
      </c>
    </row>
    <row r="118" spans="26:31" x14ac:dyDescent="0.25">
      <c r="Z118" s="88" t="str">
        <f>IF(LISTADO_NOM!K118="","",DATE(LISTADO_NOM!M118,LISTADO_NOM!L118,LISTADO_NOM!K118))</f>
        <v/>
      </c>
      <c r="AA118" s="88" t="str">
        <f>IFERROR(INDEX($Z$14:$Z$300, MATCH(0, INDEX(COUNTIF($AA$13:AA117, $Z$14:$Z$300), 0, 0), 0)), "")</f>
        <v/>
      </c>
      <c r="AB118" s="88" t="str">
        <f t="shared" si="1"/>
        <v/>
      </c>
      <c r="AC118">
        <v>105</v>
      </c>
      <c r="AE118" t="str">
        <f>IF(LISTADO_NOM!AK118="","",VLOOKUP(LISTADO_NOM!AK118,SEGUIMIENTOS,2,FALSE))</f>
        <v/>
      </c>
    </row>
    <row r="119" spans="26:31" x14ac:dyDescent="0.25">
      <c r="Z119" s="88" t="str">
        <f>IF(LISTADO_NOM!K119="","",DATE(LISTADO_NOM!M119,LISTADO_NOM!L119,LISTADO_NOM!K119))</f>
        <v/>
      </c>
      <c r="AA119" s="88" t="str">
        <f>IFERROR(INDEX($Z$14:$Z$300, MATCH(0, INDEX(COUNTIF($AA$13:AA118, $Z$14:$Z$300), 0, 0), 0)), "")</f>
        <v/>
      </c>
      <c r="AB119" s="88" t="str">
        <f t="shared" si="1"/>
        <v/>
      </c>
      <c r="AC119">
        <v>106</v>
      </c>
      <c r="AE119" t="str">
        <f>IF(LISTADO_NOM!AK119="","",VLOOKUP(LISTADO_NOM!AK119,SEGUIMIENTOS,2,FALSE))</f>
        <v/>
      </c>
    </row>
    <row r="120" spans="26:31" x14ac:dyDescent="0.25">
      <c r="Z120" s="88" t="str">
        <f>IF(LISTADO_NOM!K120="","",DATE(LISTADO_NOM!M120,LISTADO_NOM!L120,LISTADO_NOM!K120))</f>
        <v/>
      </c>
      <c r="AA120" s="88" t="str">
        <f>IFERROR(INDEX($Z$14:$Z$300, MATCH(0, INDEX(COUNTIF($AA$13:AA119, $Z$14:$Z$300), 0, 0), 0)), "")</f>
        <v/>
      </c>
      <c r="AB120" s="88" t="str">
        <f t="shared" si="1"/>
        <v/>
      </c>
      <c r="AC120">
        <v>107</v>
      </c>
      <c r="AE120" t="str">
        <f>IF(LISTADO_NOM!AK120="","",VLOOKUP(LISTADO_NOM!AK120,SEGUIMIENTOS,2,FALSE))</f>
        <v/>
      </c>
    </row>
    <row r="121" spans="26:31" x14ac:dyDescent="0.25">
      <c r="Z121" s="88" t="str">
        <f>IF(LISTADO_NOM!K121="","",DATE(LISTADO_NOM!M121,LISTADO_NOM!L121,LISTADO_NOM!K121))</f>
        <v/>
      </c>
      <c r="AA121" s="88" t="str">
        <f>IFERROR(INDEX($Z$14:$Z$300, MATCH(0, INDEX(COUNTIF($AA$13:AA120, $Z$14:$Z$300), 0, 0), 0)), "")</f>
        <v/>
      </c>
      <c r="AB121" s="88" t="str">
        <f t="shared" si="1"/>
        <v/>
      </c>
      <c r="AC121">
        <v>108</v>
      </c>
      <c r="AE121" t="str">
        <f>IF(LISTADO_NOM!AK121="","",VLOOKUP(LISTADO_NOM!AK121,SEGUIMIENTOS,2,FALSE))</f>
        <v/>
      </c>
    </row>
    <row r="122" spans="26:31" x14ac:dyDescent="0.25">
      <c r="Z122" s="88" t="str">
        <f>IF(LISTADO_NOM!K122="","",DATE(LISTADO_NOM!M122,LISTADO_NOM!L122,LISTADO_NOM!K122))</f>
        <v/>
      </c>
      <c r="AA122" s="88" t="str">
        <f>IFERROR(INDEX($Z$14:$Z$300, MATCH(0, INDEX(COUNTIF($AA$13:AA121, $Z$14:$Z$300), 0, 0), 0)), "")</f>
        <v/>
      </c>
      <c r="AB122" s="88" t="str">
        <f t="shared" si="1"/>
        <v/>
      </c>
      <c r="AC122">
        <v>109</v>
      </c>
      <c r="AE122" t="str">
        <f>IF(LISTADO_NOM!AK122="","",VLOOKUP(LISTADO_NOM!AK122,SEGUIMIENTOS,2,FALSE))</f>
        <v/>
      </c>
    </row>
    <row r="123" spans="26:31" x14ac:dyDescent="0.25">
      <c r="Z123" s="88" t="str">
        <f>IF(LISTADO_NOM!K123="","",DATE(LISTADO_NOM!M123,LISTADO_NOM!L123,LISTADO_NOM!K123))</f>
        <v/>
      </c>
      <c r="AA123" s="88" t="str">
        <f>IFERROR(INDEX($Z$14:$Z$300, MATCH(0, INDEX(COUNTIF($AA$13:AA122, $Z$14:$Z$300), 0, 0), 0)), "")</f>
        <v/>
      </c>
      <c r="AB123" s="88" t="str">
        <f t="shared" si="1"/>
        <v/>
      </c>
      <c r="AC123">
        <v>110</v>
      </c>
      <c r="AE123" t="str">
        <f>IF(LISTADO_NOM!AK123="","",VLOOKUP(LISTADO_NOM!AK123,SEGUIMIENTOS,2,FALSE))</f>
        <v/>
      </c>
    </row>
    <row r="124" spans="26:31" x14ac:dyDescent="0.25">
      <c r="Z124" s="88" t="str">
        <f>IF(LISTADO_NOM!K124="","",DATE(LISTADO_NOM!M124,LISTADO_NOM!L124,LISTADO_NOM!K124))</f>
        <v/>
      </c>
      <c r="AA124" s="88" t="str">
        <f>IFERROR(INDEX($Z$14:$Z$300, MATCH(0, INDEX(COUNTIF($AA$13:AA123, $Z$14:$Z$300), 0, 0), 0)), "")</f>
        <v/>
      </c>
      <c r="AB124" s="88" t="str">
        <f t="shared" si="1"/>
        <v/>
      </c>
      <c r="AC124">
        <v>111</v>
      </c>
      <c r="AE124" t="str">
        <f>IF(LISTADO_NOM!AK124="","",VLOOKUP(LISTADO_NOM!AK124,SEGUIMIENTOS,2,FALSE))</f>
        <v/>
      </c>
    </row>
    <row r="125" spans="26:31" x14ac:dyDescent="0.25">
      <c r="Z125" s="88" t="str">
        <f>IF(LISTADO_NOM!K125="","",DATE(LISTADO_NOM!M125,LISTADO_NOM!L125,LISTADO_NOM!K125))</f>
        <v/>
      </c>
      <c r="AA125" s="88" t="str">
        <f>IFERROR(INDEX($Z$14:$Z$300, MATCH(0, INDEX(COUNTIF($AA$13:AA124, $Z$14:$Z$300), 0, 0), 0)), "")</f>
        <v/>
      </c>
      <c r="AB125" s="88" t="str">
        <f t="shared" si="1"/>
        <v/>
      </c>
      <c r="AC125">
        <v>112</v>
      </c>
      <c r="AE125" t="str">
        <f>IF(LISTADO_NOM!AK125="","",VLOOKUP(LISTADO_NOM!AK125,SEGUIMIENTOS,2,FALSE))</f>
        <v/>
      </c>
    </row>
    <row r="126" spans="26:31" x14ac:dyDescent="0.25">
      <c r="Z126" s="88" t="str">
        <f>IF(LISTADO_NOM!K126="","",DATE(LISTADO_NOM!M126,LISTADO_NOM!L126,LISTADO_NOM!K126))</f>
        <v/>
      </c>
      <c r="AA126" s="88" t="str">
        <f>IFERROR(INDEX($Z$14:$Z$300, MATCH(0, INDEX(COUNTIF($AA$13:AA125, $Z$14:$Z$300), 0, 0), 0)), "")</f>
        <v/>
      </c>
      <c r="AB126" s="88" t="str">
        <f t="shared" si="1"/>
        <v/>
      </c>
      <c r="AC126">
        <v>113</v>
      </c>
      <c r="AE126" t="str">
        <f>IF(LISTADO_NOM!AK126="","",VLOOKUP(LISTADO_NOM!AK126,SEGUIMIENTOS,2,FALSE))</f>
        <v/>
      </c>
    </row>
    <row r="127" spans="26:31" x14ac:dyDescent="0.25">
      <c r="Z127" s="88" t="str">
        <f>IF(LISTADO_NOM!K127="","",DATE(LISTADO_NOM!M127,LISTADO_NOM!L127,LISTADO_NOM!K127))</f>
        <v/>
      </c>
      <c r="AA127" s="88" t="str">
        <f>IFERROR(INDEX($Z$14:$Z$300, MATCH(0, INDEX(COUNTIF($AA$13:AA126, $Z$14:$Z$300), 0, 0), 0)), "")</f>
        <v/>
      </c>
      <c r="AB127" s="88" t="str">
        <f t="shared" si="1"/>
        <v/>
      </c>
      <c r="AC127">
        <v>114</v>
      </c>
      <c r="AE127" t="str">
        <f>IF(LISTADO_NOM!AK127="","",VLOOKUP(LISTADO_NOM!AK127,SEGUIMIENTOS,2,FALSE))</f>
        <v/>
      </c>
    </row>
    <row r="128" spans="26:31" x14ac:dyDescent="0.25">
      <c r="Z128" s="88" t="str">
        <f>IF(LISTADO_NOM!K128="","",DATE(LISTADO_NOM!M128,LISTADO_NOM!L128,LISTADO_NOM!K128))</f>
        <v/>
      </c>
      <c r="AA128" s="88" t="str">
        <f>IFERROR(INDEX($Z$14:$Z$300, MATCH(0, INDEX(COUNTIF($AA$13:AA127, $Z$14:$Z$300), 0, 0), 0)), "")</f>
        <v/>
      </c>
      <c r="AB128" s="88" t="str">
        <f t="shared" si="1"/>
        <v/>
      </c>
      <c r="AC128">
        <v>115</v>
      </c>
      <c r="AE128" t="str">
        <f>IF(LISTADO_NOM!AK128="","",VLOOKUP(LISTADO_NOM!AK128,SEGUIMIENTOS,2,FALSE))</f>
        <v/>
      </c>
    </row>
    <row r="129" spans="26:31" x14ac:dyDescent="0.25">
      <c r="Z129" s="88" t="str">
        <f>IF(LISTADO_NOM!K129="","",DATE(LISTADO_NOM!M129,LISTADO_NOM!L129,LISTADO_NOM!K129))</f>
        <v/>
      </c>
      <c r="AA129" s="88" t="str">
        <f>IFERROR(INDEX($Z$14:$Z$300, MATCH(0, INDEX(COUNTIF($AA$13:AA128, $Z$14:$Z$300), 0, 0), 0)), "")</f>
        <v/>
      </c>
      <c r="AB129" s="88" t="str">
        <f t="shared" si="1"/>
        <v/>
      </c>
      <c r="AC129">
        <v>116</v>
      </c>
      <c r="AE129" t="str">
        <f>IF(LISTADO_NOM!AK129="","",VLOOKUP(LISTADO_NOM!AK129,SEGUIMIENTOS,2,FALSE))</f>
        <v/>
      </c>
    </row>
    <row r="130" spans="26:31" x14ac:dyDescent="0.25">
      <c r="Z130" s="88" t="str">
        <f>IF(LISTADO_NOM!K130="","",DATE(LISTADO_NOM!M130,LISTADO_NOM!L130,LISTADO_NOM!K130))</f>
        <v/>
      </c>
      <c r="AA130" s="88" t="str">
        <f>IFERROR(INDEX($Z$14:$Z$300, MATCH(0, INDEX(COUNTIF($AA$13:AA129, $Z$14:$Z$300), 0, 0), 0)), "")</f>
        <v/>
      </c>
      <c r="AB130" s="88" t="str">
        <f t="shared" si="1"/>
        <v/>
      </c>
      <c r="AC130">
        <v>117</v>
      </c>
      <c r="AE130" t="str">
        <f>IF(LISTADO_NOM!AK130="","",VLOOKUP(LISTADO_NOM!AK130,SEGUIMIENTOS,2,FALSE))</f>
        <v/>
      </c>
    </row>
    <row r="131" spans="26:31" x14ac:dyDescent="0.25">
      <c r="Z131" s="88" t="str">
        <f>IF(LISTADO_NOM!K131="","",DATE(LISTADO_NOM!M131,LISTADO_NOM!L131,LISTADO_NOM!K131))</f>
        <v/>
      </c>
      <c r="AA131" s="88" t="str">
        <f>IFERROR(INDEX($Z$14:$Z$300, MATCH(0, INDEX(COUNTIF($AA$13:AA130, $Z$14:$Z$300), 0, 0), 0)), "")</f>
        <v/>
      </c>
      <c r="AB131" s="88" t="str">
        <f t="shared" si="1"/>
        <v/>
      </c>
      <c r="AC131">
        <v>118</v>
      </c>
      <c r="AE131" t="str">
        <f>IF(LISTADO_NOM!AK131="","",VLOOKUP(LISTADO_NOM!AK131,SEGUIMIENTOS,2,FALSE))</f>
        <v/>
      </c>
    </row>
    <row r="132" spans="26:31" x14ac:dyDescent="0.25">
      <c r="Z132" s="88" t="str">
        <f>IF(LISTADO_NOM!K132="","",DATE(LISTADO_NOM!M132,LISTADO_NOM!L132,LISTADO_NOM!K132))</f>
        <v/>
      </c>
      <c r="AA132" s="88" t="str">
        <f>IFERROR(INDEX($Z$14:$Z$300, MATCH(0, INDEX(COUNTIF($AA$13:AA131, $Z$14:$Z$300), 0, 0), 0)), "")</f>
        <v/>
      </c>
      <c r="AB132" s="88" t="str">
        <f t="shared" si="1"/>
        <v/>
      </c>
      <c r="AC132">
        <v>119</v>
      </c>
      <c r="AE132" t="str">
        <f>IF(LISTADO_NOM!AK132="","",VLOOKUP(LISTADO_NOM!AK132,SEGUIMIENTOS,2,FALSE))</f>
        <v/>
      </c>
    </row>
    <row r="133" spans="26:31" x14ac:dyDescent="0.25">
      <c r="Z133" s="88" t="str">
        <f>IF(LISTADO_NOM!K133="","",DATE(LISTADO_NOM!M133,LISTADO_NOM!L133,LISTADO_NOM!K133))</f>
        <v/>
      </c>
      <c r="AA133" s="88" t="str">
        <f>IFERROR(INDEX($Z$14:$Z$300, MATCH(0, INDEX(COUNTIF($AA$13:AA132, $Z$14:$Z$300), 0, 0), 0)), "")</f>
        <v/>
      </c>
      <c r="AB133" s="88" t="str">
        <f t="shared" si="1"/>
        <v/>
      </c>
      <c r="AC133">
        <v>120</v>
      </c>
      <c r="AE133" t="str">
        <f>IF(LISTADO_NOM!AK133="","",VLOOKUP(LISTADO_NOM!AK133,SEGUIMIENTOS,2,FALSE))</f>
        <v/>
      </c>
    </row>
    <row r="134" spans="26:31" x14ac:dyDescent="0.25">
      <c r="Z134" s="88" t="str">
        <f>IF(LISTADO_NOM!K134="","",DATE(LISTADO_NOM!M134,LISTADO_NOM!L134,LISTADO_NOM!K134))</f>
        <v/>
      </c>
      <c r="AA134" s="88" t="str">
        <f>IFERROR(INDEX($Z$14:$Z$300, MATCH(0, INDEX(COUNTIF($AA$13:AA133, $Z$14:$Z$300), 0, 0), 0)), "")</f>
        <v/>
      </c>
      <c r="AB134" s="88" t="str">
        <f t="shared" si="1"/>
        <v/>
      </c>
      <c r="AC134">
        <v>121</v>
      </c>
      <c r="AE134" t="str">
        <f>IF(LISTADO_NOM!AK134="","",VLOOKUP(LISTADO_NOM!AK134,SEGUIMIENTOS,2,FALSE))</f>
        <v/>
      </c>
    </row>
    <row r="135" spans="26:31" x14ac:dyDescent="0.25">
      <c r="Z135" s="88" t="str">
        <f>IF(LISTADO_NOM!K135="","",DATE(LISTADO_NOM!M135,LISTADO_NOM!L135,LISTADO_NOM!K135))</f>
        <v/>
      </c>
      <c r="AA135" s="88" t="str">
        <f>IFERROR(INDEX($Z$14:$Z$300, MATCH(0, INDEX(COUNTIF($AA$13:AA134, $Z$14:$Z$300), 0, 0), 0)), "")</f>
        <v/>
      </c>
      <c r="AB135" s="88" t="str">
        <f t="shared" si="1"/>
        <v/>
      </c>
      <c r="AC135">
        <v>122</v>
      </c>
      <c r="AE135" t="str">
        <f>IF(LISTADO_NOM!AK135="","",VLOOKUP(LISTADO_NOM!AK135,SEGUIMIENTOS,2,FALSE))</f>
        <v/>
      </c>
    </row>
    <row r="136" spans="26:31" x14ac:dyDescent="0.25">
      <c r="Z136" s="88" t="str">
        <f>IF(LISTADO_NOM!K136="","",DATE(LISTADO_NOM!M136,LISTADO_NOM!L136,LISTADO_NOM!K136))</f>
        <v/>
      </c>
      <c r="AA136" s="88" t="str">
        <f>IFERROR(INDEX($Z$14:$Z$300, MATCH(0, INDEX(COUNTIF($AA$13:AA135, $Z$14:$Z$300), 0, 0), 0)), "")</f>
        <v/>
      </c>
      <c r="AB136" s="88" t="str">
        <f t="shared" si="1"/>
        <v/>
      </c>
      <c r="AC136">
        <v>123</v>
      </c>
      <c r="AE136" t="str">
        <f>IF(LISTADO_NOM!AK136="","",VLOOKUP(LISTADO_NOM!AK136,SEGUIMIENTOS,2,FALSE))</f>
        <v/>
      </c>
    </row>
    <row r="137" spans="26:31" x14ac:dyDescent="0.25">
      <c r="Z137" s="88" t="str">
        <f>IF(LISTADO_NOM!K137="","",DATE(LISTADO_NOM!M137,LISTADO_NOM!L137,LISTADO_NOM!K137))</f>
        <v/>
      </c>
      <c r="AA137" s="88" t="str">
        <f>IFERROR(INDEX($Z$14:$Z$300, MATCH(0, INDEX(COUNTIF($AA$13:AA136, $Z$14:$Z$300), 0, 0), 0)), "")</f>
        <v/>
      </c>
      <c r="AB137" s="88" t="str">
        <f t="shared" si="1"/>
        <v/>
      </c>
      <c r="AC137">
        <v>124</v>
      </c>
      <c r="AE137" t="str">
        <f>IF(LISTADO_NOM!AK137="","",VLOOKUP(LISTADO_NOM!AK137,SEGUIMIENTOS,2,FALSE))</f>
        <v/>
      </c>
    </row>
    <row r="138" spans="26:31" x14ac:dyDescent="0.25">
      <c r="Z138" s="88" t="str">
        <f>IF(LISTADO_NOM!K138="","",DATE(LISTADO_NOM!M138,LISTADO_NOM!L138,LISTADO_NOM!K138))</f>
        <v/>
      </c>
      <c r="AA138" s="88" t="str">
        <f>IFERROR(INDEX($Z$14:$Z$300, MATCH(0, INDEX(COUNTIF($AA$13:AA137, $Z$14:$Z$300), 0, 0), 0)), "")</f>
        <v/>
      </c>
      <c r="AB138" s="88" t="str">
        <f t="shared" si="1"/>
        <v/>
      </c>
      <c r="AC138">
        <v>125</v>
      </c>
      <c r="AE138" t="str">
        <f>IF(LISTADO_NOM!AK138="","",VLOOKUP(LISTADO_NOM!AK138,SEGUIMIENTOS,2,FALSE))</f>
        <v/>
      </c>
    </row>
    <row r="139" spans="26:31" x14ac:dyDescent="0.25">
      <c r="Z139" s="88" t="str">
        <f>IF(LISTADO_NOM!K139="","",DATE(LISTADO_NOM!M139,LISTADO_NOM!L139,LISTADO_NOM!K139))</f>
        <v/>
      </c>
      <c r="AA139" s="88" t="str">
        <f>IFERROR(INDEX($Z$14:$Z$300, MATCH(0, INDEX(COUNTIF($AA$13:AA138, $Z$14:$Z$300), 0, 0), 0)), "")</f>
        <v/>
      </c>
      <c r="AB139" s="88" t="str">
        <f t="shared" si="1"/>
        <v/>
      </c>
      <c r="AC139">
        <v>126</v>
      </c>
      <c r="AE139" t="str">
        <f>IF(LISTADO_NOM!AK139="","",VLOOKUP(LISTADO_NOM!AK139,SEGUIMIENTOS,2,FALSE))</f>
        <v/>
      </c>
    </row>
    <row r="140" spans="26:31" x14ac:dyDescent="0.25">
      <c r="Z140" s="88" t="str">
        <f>IF(LISTADO_NOM!K140="","",DATE(LISTADO_NOM!M140,LISTADO_NOM!L140,LISTADO_NOM!K140))</f>
        <v/>
      </c>
      <c r="AA140" s="88" t="str">
        <f>IFERROR(INDEX($Z$14:$Z$300, MATCH(0, INDEX(COUNTIF($AA$13:AA139, $Z$14:$Z$300), 0, 0), 0)), "")</f>
        <v/>
      </c>
      <c r="AB140" s="88" t="str">
        <f t="shared" si="1"/>
        <v/>
      </c>
      <c r="AC140">
        <v>127</v>
      </c>
      <c r="AE140" t="str">
        <f>IF(LISTADO_NOM!AK140="","",VLOOKUP(LISTADO_NOM!AK140,SEGUIMIENTOS,2,FALSE))</f>
        <v/>
      </c>
    </row>
    <row r="141" spans="26:31" x14ac:dyDescent="0.25">
      <c r="Z141" s="88" t="str">
        <f>IF(LISTADO_NOM!K141="","",DATE(LISTADO_NOM!M141,LISTADO_NOM!L141,LISTADO_NOM!K141))</f>
        <v/>
      </c>
      <c r="AA141" s="88" t="str">
        <f>IFERROR(INDEX($Z$14:$Z$300, MATCH(0, INDEX(COUNTIF($AA$13:AA140, $Z$14:$Z$300), 0, 0), 0)), "")</f>
        <v/>
      </c>
      <c r="AB141" s="88" t="str">
        <f t="shared" si="1"/>
        <v/>
      </c>
      <c r="AC141">
        <v>128</v>
      </c>
      <c r="AE141" t="str">
        <f>IF(LISTADO_NOM!AK141="","",VLOOKUP(LISTADO_NOM!AK141,SEGUIMIENTOS,2,FALSE))</f>
        <v/>
      </c>
    </row>
    <row r="142" spans="26:31" x14ac:dyDescent="0.25">
      <c r="Z142" s="88" t="str">
        <f>IF(LISTADO_NOM!K142="","",DATE(LISTADO_NOM!M142,LISTADO_NOM!L142,LISTADO_NOM!K142))</f>
        <v/>
      </c>
      <c r="AA142" s="88" t="str">
        <f>IFERROR(INDEX($Z$14:$Z$300, MATCH(0, INDEX(COUNTIF($AA$13:AA141, $Z$14:$Z$300), 0, 0), 0)), "")</f>
        <v/>
      </c>
      <c r="AB142" s="88" t="str">
        <f t="shared" ref="AB142:AB205" si="2">IF(AA142="","",SMALL(ORDENA_,AC142))</f>
        <v/>
      </c>
      <c r="AC142">
        <v>129</v>
      </c>
      <c r="AE142" t="str">
        <f>IF(LISTADO_NOM!AK142="","",VLOOKUP(LISTADO_NOM!AK142,SEGUIMIENTOS,2,FALSE))</f>
        <v/>
      </c>
    </row>
    <row r="143" spans="26:31" x14ac:dyDescent="0.25">
      <c r="Z143" s="88" t="str">
        <f>IF(LISTADO_NOM!K143="","",DATE(LISTADO_NOM!M143,LISTADO_NOM!L143,LISTADO_NOM!K143))</f>
        <v/>
      </c>
      <c r="AA143" s="88" t="str">
        <f>IFERROR(INDEX($Z$14:$Z$300, MATCH(0, INDEX(COUNTIF($AA$13:AA142, $Z$14:$Z$300), 0, 0), 0)), "")</f>
        <v/>
      </c>
      <c r="AB143" s="88" t="str">
        <f t="shared" si="2"/>
        <v/>
      </c>
      <c r="AC143">
        <v>130</v>
      </c>
      <c r="AE143" t="str">
        <f>IF(LISTADO_NOM!AK143="","",VLOOKUP(LISTADO_NOM!AK143,SEGUIMIENTOS,2,FALSE))</f>
        <v/>
      </c>
    </row>
    <row r="144" spans="26:31" x14ac:dyDescent="0.25">
      <c r="Z144" s="88" t="str">
        <f>IF(LISTADO_NOM!K144="","",DATE(LISTADO_NOM!M144,LISTADO_NOM!L144,LISTADO_NOM!K144))</f>
        <v/>
      </c>
      <c r="AA144" s="88" t="str">
        <f>IFERROR(INDEX($Z$14:$Z$300, MATCH(0, INDEX(COUNTIF($AA$13:AA143, $Z$14:$Z$300), 0, 0), 0)), "")</f>
        <v/>
      </c>
      <c r="AB144" s="88" t="str">
        <f t="shared" si="2"/>
        <v/>
      </c>
      <c r="AC144">
        <v>131</v>
      </c>
      <c r="AE144" t="str">
        <f>IF(LISTADO_NOM!AK144="","",VLOOKUP(LISTADO_NOM!AK144,SEGUIMIENTOS,2,FALSE))</f>
        <v/>
      </c>
    </row>
    <row r="145" spans="26:31" x14ac:dyDescent="0.25">
      <c r="Z145" s="88" t="str">
        <f>IF(LISTADO_NOM!K145="","",DATE(LISTADO_NOM!M145,LISTADO_NOM!L145,LISTADO_NOM!K145))</f>
        <v/>
      </c>
      <c r="AA145" s="88" t="str">
        <f>IFERROR(INDEX($Z$14:$Z$300, MATCH(0, INDEX(COUNTIF($AA$13:AA144, $Z$14:$Z$300), 0, 0), 0)), "")</f>
        <v/>
      </c>
      <c r="AB145" s="88" t="str">
        <f t="shared" si="2"/>
        <v/>
      </c>
      <c r="AC145">
        <v>132</v>
      </c>
      <c r="AE145" t="str">
        <f>IF(LISTADO_NOM!AK145="","",VLOOKUP(LISTADO_NOM!AK145,SEGUIMIENTOS,2,FALSE))</f>
        <v/>
      </c>
    </row>
    <row r="146" spans="26:31" x14ac:dyDescent="0.25">
      <c r="Z146" s="88" t="str">
        <f>IF(LISTADO_NOM!K146="","",DATE(LISTADO_NOM!M146,LISTADO_NOM!L146,LISTADO_NOM!K146))</f>
        <v/>
      </c>
      <c r="AA146" s="88" t="str">
        <f>IFERROR(INDEX($Z$14:$Z$300, MATCH(0, INDEX(COUNTIF($AA$13:AA145, $Z$14:$Z$300), 0, 0), 0)), "")</f>
        <v/>
      </c>
      <c r="AB146" s="88" t="str">
        <f t="shared" si="2"/>
        <v/>
      </c>
      <c r="AC146">
        <v>133</v>
      </c>
      <c r="AE146" t="str">
        <f>IF(LISTADO_NOM!AK146="","",VLOOKUP(LISTADO_NOM!AK146,SEGUIMIENTOS,2,FALSE))</f>
        <v/>
      </c>
    </row>
    <row r="147" spans="26:31" x14ac:dyDescent="0.25">
      <c r="Z147" s="88" t="str">
        <f>IF(LISTADO_NOM!K147="","",DATE(LISTADO_NOM!M147,LISTADO_NOM!L147,LISTADO_NOM!K147))</f>
        <v/>
      </c>
      <c r="AA147" s="88" t="str">
        <f>IFERROR(INDEX($Z$14:$Z$300, MATCH(0, INDEX(COUNTIF($AA$13:AA146, $Z$14:$Z$300), 0, 0), 0)), "")</f>
        <v/>
      </c>
      <c r="AB147" s="88" t="str">
        <f t="shared" si="2"/>
        <v/>
      </c>
      <c r="AC147">
        <v>134</v>
      </c>
      <c r="AE147" t="str">
        <f>IF(LISTADO_NOM!AK147="","",VLOOKUP(LISTADO_NOM!AK147,SEGUIMIENTOS,2,FALSE))</f>
        <v/>
      </c>
    </row>
    <row r="148" spans="26:31" x14ac:dyDescent="0.25">
      <c r="Z148" s="88" t="str">
        <f>IF(LISTADO_NOM!K148="","",DATE(LISTADO_NOM!M148,LISTADO_NOM!L148,LISTADO_NOM!K148))</f>
        <v/>
      </c>
      <c r="AA148" s="88" t="str">
        <f>IFERROR(INDEX($Z$14:$Z$300, MATCH(0, INDEX(COUNTIF($AA$13:AA147, $Z$14:$Z$300), 0, 0), 0)), "")</f>
        <v/>
      </c>
      <c r="AB148" s="88" t="str">
        <f t="shared" si="2"/>
        <v/>
      </c>
      <c r="AC148">
        <v>135</v>
      </c>
      <c r="AE148" t="str">
        <f>IF(LISTADO_NOM!AK148="","",VLOOKUP(LISTADO_NOM!AK148,SEGUIMIENTOS,2,FALSE))</f>
        <v/>
      </c>
    </row>
    <row r="149" spans="26:31" x14ac:dyDescent="0.25">
      <c r="Z149" s="88" t="str">
        <f>IF(LISTADO_NOM!K149="","",DATE(LISTADO_NOM!M149,LISTADO_NOM!L149,LISTADO_NOM!K149))</f>
        <v/>
      </c>
      <c r="AA149" s="88" t="str">
        <f>IFERROR(INDEX($Z$14:$Z$300, MATCH(0, INDEX(COUNTIF($AA$13:AA148, $Z$14:$Z$300), 0, 0), 0)), "")</f>
        <v/>
      </c>
      <c r="AB149" s="88" t="str">
        <f t="shared" si="2"/>
        <v/>
      </c>
      <c r="AC149">
        <v>136</v>
      </c>
      <c r="AE149" t="str">
        <f>IF(LISTADO_NOM!AK149="","",VLOOKUP(LISTADO_NOM!AK149,SEGUIMIENTOS,2,FALSE))</f>
        <v/>
      </c>
    </row>
    <row r="150" spans="26:31" x14ac:dyDescent="0.25">
      <c r="Z150" s="88" t="str">
        <f>IF(LISTADO_NOM!K150="","",DATE(LISTADO_NOM!M150,LISTADO_NOM!L150,LISTADO_NOM!K150))</f>
        <v/>
      </c>
      <c r="AA150" s="88" t="str">
        <f>IFERROR(INDEX($Z$14:$Z$300, MATCH(0, INDEX(COUNTIF($AA$13:AA149, $Z$14:$Z$300), 0, 0), 0)), "")</f>
        <v/>
      </c>
      <c r="AB150" s="88" t="str">
        <f t="shared" si="2"/>
        <v/>
      </c>
      <c r="AC150">
        <v>137</v>
      </c>
      <c r="AE150" t="str">
        <f>IF(LISTADO_NOM!AK150="","",VLOOKUP(LISTADO_NOM!AK150,SEGUIMIENTOS,2,FALSE))</f>
        <v/>
      </c>
    </row>
    <row r="151" spans="26:31" x14ac:dyDescent="0.25">
      <c r="Z151" s="88" t="str">
        <f>IF(LISTADO_NOM!K151="","",DATE(LISTADO_NOM!M151,LISTADO_NOM!L151,LISTADO_NOM!K151))</f>
        <v/>
      </c>
      <c r="AA151" s="88" t="str">
        <f>IFERROR(INDEX($Z$14:$Z$300, MATCH(0, INDEX(COUNTIF($AA$13:AA150, $Z$14:$Z$300), 0, 0), 0)), "")</f>
        <v/>
      </c>
      <c r="AB151" s="88" t="str">
        <f t="shared" si="2"/>
        <v/>
      </c>
      <c r="AC151">
        <v>138</v>
      </c>
      <c r="AE151" t="str">
        <f>IF(LISTADO_NOM!AK151="","",VLOOKUP(LISTADO_NOM!AK151,SEGUIMIENTOS,2,FALSE))</f>
        <v/>
      </c>
    </row>
    <row r="152" spans="26:31" x14ac:dyDescent="0.25">
      <c r="Z152" s="88" t="str">
        <f>IF(LISTADO_NOM!K152="","",DATE(LISTADO_NOM!M152,LISTADO_NOM!L152,LISTADO_NOM!K152))</f>
        <v/>
      </c>
      <c r="AA152" s="88" t="str">
        <f>IFERROR(INDEX($Z$14:$Z$300, MATCH(0, INDEX(COUNTIF($AA$13:AA151, $Z$14:$Z$300), 0, 0), 0)), "")</f>
        <v/>
      </c>
      <c r="AB152" s="88" t="str">
        <f t="shared" si="2"/>
        <v/>
      </c>
      <c r="AC152">
        <v>139</v>
      </c>
      <c r="AE152" t="str">
        <f>IF(LISTADO_NOM!AK152="","",VLOOKUP(LISTADO_NOM!AK152,SEGUIMIENTOS,2,FALSE))</f>
        <v/>
      </c>
    </row>
    <row r="153" spans="26:31" x14ac:dyDescent="0.25">
      <c r="Z153" s="88" t="str">
        <f>IF(LISTADO_NOM!K153="","",DATE(LISTADO_NOM!M153,LISTADO_NOM!L153,LISTADO_NOM!K153))</f>
        <v/>
      </c>
      <c r="AA153" s="88" t="str">
        <f>IFERROR(INDEX($Z$14:$Z$300, MATCH(0, INDEX(COUNTIF($AA$13:AA152, $Z$14:$Z$300), 0, 0), 0)), "")</f>
        <v/>
      </c>
      <c r="AB153" s="88" t="str">
        <f t="shared" si="2"/>
        <v/>
      </c>
      <c r="AC153">
        <v>140</v>
      </c>
      <c r="AE153" t="str">
        <f>IF(LISTADO_NOM!AK153="","",VLOOKUP(LISTADO_NOM!AK153,SEGUIMIENTOS,2,FALSE))</f>
        <v/>
      </c>
    </row>
    <row r="154" spans="26:31" x14ac:dyDescent="0.25">
      <c r="Z154" s="88" t="str">
        <f>IF(LISTADO_NOM!K154="","",DATE(LISTADO_NOM!M154,LISTADO_NOM!L154,LISTADO_NOM!K154))</f>
        <v/>
      </c>
      <c r="AA154" s="88" t="str">
        <f>IFERROR(INDEX($Z$14:$Z$300, MATCH(0, INDEX(COUNTIF($AA$13:AA153, $Z$14:$Z$300), 0, 0), 0)), "")</f>
        <v/>
      </c>
      <c r="AB154" s="88" t="str">
        <f t="shared" si="2"/>
        <v/>
      </c>
      <c r="AC154">
        <v>141</v>
      </c>
      <c r="AE154" t="str">
        <f>IF(LISTADO_NOM!AK154="","",VLOOKUP(LISTADO_NOM!AK154,SEGUIMIENTOS,2,FALSE))</f>
        <v/>
      </c>
    </row>
    <row r="155" spans="26:31" x14ac:dyDescent="0.25">
      <c r="Z155" s="88" t="str">
        <f>IF(LISTADO_NOM!K155="","",DATE(LISTADO_NOM!M155,LISTADO_NOM!L155,LISTADO_NOM!K155))</f>
        <v/>
      </c>
      <c r="AA155" s="88" t="str">
        <f>IFERROR(INDEX($Z$14:$Z$300, MATCH(0, INDEX(COUNTIF($AA$13:AA154, $Z$14:$Z$300), 0, 0), 0)), "")</f>
        <v/>
      </c>
      <c r="AB155" s="88" t="str">
        <f t="shared" si="2"/>
        <v/>
      </c>
      <c r="AC155">
        <v>142</v>
      </c>
      <c r="AE155" t="str">
        <f>IF(LISTADO_NOM!AK155="","",VLOOKUP(LISTADO_NOM!AK155,SEGUIMIENTOS,2,FALSE))</f>
        <v/>
      </c>
    </row>
    <row r="156" spans="26:31" x14ac:dyDescent="0.25">
      <c r="Z156" s="88" t="str">
        <f>IF(LISTADO_NOM!K156="","",DATE(LISTADO_NOM!M156,LISTADO_NOM!L156,LISTADO_NOM!K156))</f>
        <v/>
      </c>
      <c r="AA156" s="88" t="str">
        <f>IFERROR(INDEX($Z$14:$Z$300, MATCH(0, INDEX(COUNTIF($AA$13:AA155, $Z$14:$Z$300), 0, 0), 0)), "")</f>
        <v/>
      </c>
      <c r="AB156" s="88" t="str">
        <f t="shared" si="2"/>
        <v/>
      </c>
      <c r="AC156">
        <v>143</v>
      </c>
      <c r="AE156" t="str">
        <f>IF(LISTADO_NOM!AK156="","",VLOOKUP(LISTADO_NOM!AK156,SEGUIMIENTOS,2,FALSE))</f>
        <v/>
      </c>
    </row>
    <row r="157" spans="26:31" x14ac:dyDescent="0.25">
      <c r="Z157" s="88" t="str">
        <f>IF(LISTADO_NOM!K157="","",DATE(LISTADO_NOM!M157,LISTADO_NOM!L157,LISTADO_NOM!K157))</f>
        <v/>
      </c>
      <c r="AA157" s="88" t="str">
        <f>IFERROR(INDEX($Z$14:$Z$300, MATCH(0, INDEX(COUNTIF($AA$13:AA156, $Z$14:$Z$300), 0, 0), 0)), "")</f>
        <v/>
      </c>
      <c r="AB157" s="88" t="str">
        <f t="shared" si="2"/>
        <v/>
      </c>
      <c r="AC157">
        <v>144</v>
      </c>
      <c r="AE157" t="str">
        <f>IF(LISTADO_NOM!AK157="","",VLOOKUP(LISTADO_NOM!AK157,SEGUIMIENTOS,2,FALSE))</f>
        <v/>
      </c>
    </row>
    <row r="158" spans="26:31" x14ac:dyDescent="0.25">
      <c r="Z158" s="88" t="str">
        <f>IF(LISTADO_NOM!K158="","",DATE(LISTADO_NOM!M158,LISTADO_NOM!L158,LISTADO_NOM!K158))</f>
        <v/>
      </c>
      <c r="AA158" s="88" t="str">
        <f>IFERROR(INDEX($Z$14:$Z$300, MATCH(0, INDEX(COUNTIF($AA$13:AA157, $Z$14:$Z$300), 0, 0), 0)), "")</f>
        <v/>
      </c>
      <c r="AB158" s="88" t="str">
        <f t="shared" si="2"/>
        <v/>
      </c>
      <c r="AC158">
        <v>145</v>
      </c>
      <c r="AE158" t="str">
        <f>IF(LISTADO_NOM!AK158="","",VLOOKUP(LISTADO_NOM!AK158,SEGUIMIENTOS,2,FALSE))</f>
        <v/>
      </c>
    </row>
    <row r="159" spans="26:31" x14ac:dyDescent="0.25">
      <c r="Z159" s="88" t="str">
        <f>IF(LISTADO_NOM!K159="","",DATE(LISTADO_NOM!M159,LISTADO_NOM!L159,LISTADO_NOM!K159))</f>
        <v/>
      </c>
      <c r="AA159" s="88" t="str">
        <f>IFERROR(INDEX($Z$14:$Z$300, MATCH(0, INDEX(COUNTIF($AA$13:AA158, $Z$14:$Z$300), 0, 0), 0)), "")</f>
        <v/>
      </c>
      <c r="AB159" s="88" t="str">
        <f t="shared" si="2"/>
        <v/>
      </c>
      <c r="AC159">
        <v>146</v>
      </c>
      <c r="AE159" t="str">
        <f>IF(LISTADO_NOM!AK159="","",VLOOKUP(LISTADO_NOM!AK159,SEGUIMIENTOS,2,FALSE))</f>
        <v/>
      </c>
    </row>
    <row r="160" spans="26:31" x14ac:dyDescent="0.25">
      <c r="Z160" s="88" t="str">
        <f>IF(LISTADO_NOM!K160="","",DATE(LISTADO_NOM!M160,LISTADO_NOM!L160,LISTADO_NOM!K160))</f>
        <v/>
      </c>
      <c r="AA160" s="88" t="str">
        <f>IFERROR(INDEX($Z$14:$Z$300, MATCH(0, INDEX(COUNTIF($AA$13:AA159, $Z$14:$Z$300), 0, 0), 0)), "")</f>
        <v/>
      </c>
      <c r="AB160" s="88" t="str">
        <f t="shared" si="2"/>
        <v/>
      </c>
      <c r="AC160">
        <v>147</v>
      </c>
      <c r="AE160" t="str">
        <f>IF(LISTADO_NOM!AK160="","",VLOOKUP(LISTADO_NOM!AK160,SEGUIMIENTOS,2,FALSE))</f>
        <v/>
      </c>
    </row>
    <row r="161" spans="26:31" x14ac:dyDescent="0.25">
      <c r="Z161" s="88" t="str">
        <f>IF(LISTADO_NOM!K161="","",DATE(LISTADO_NOM!M161,LISTADO_NOM!L161,LISTADO_NOM!K161))</f>
        <v/>
      </c>
      <c r="AA161" s="88" t="str">
        <f>IFERROR(INDEX($Z$14:$Z$300, MATCH(0, INDEX(COUNTIF($AA$13:AA160, $Z$14:$Z$300), 0, 0), 0)), "")</f>
        <v/>
      </c>
      <c r="AB161" s="88" t="str">
        <f t="shared" si="2"/>
        <v/>
      </c>
      <c r="AC161">
        <v>148</v>
      </c>
      <c r="AE161" t="str">
        <f>IF(LISTADO_NOM!AK161="","",VLOOKUP(LISTADO_NOM!AK161,SEGUIMIENTOS,2,FALSE))</f>
        <v/>
      </c>
    </row>
    <row r="162" spans="26:31" x14ac:dyDescent="0.25">
      <c r="Z162" s="88" t="str">
        <f>IF(LISTADO_NOM!K162="","",DATE(LISTADO_NOM!M162,LISTADO_NOM!L162,LISTADO_NOM!K162))</f>
        <v/>
      </c>
      <c r="AA162" s="88" t="str">
        <f>IFERROR(INDEX($Z$14:$Z$300, MATCH(0, INDEX(COUNTIF($AA$13:AA161, $Z$14:$Z$300), 0, 0), 0)), "")</f>
        <v/>
      </c>
      <c r="AB162" s="88" t="str">
        <f t="shared" si="2"/>
        <v/>
      </c>
      <c r="AC162">
        <v>149</v>
      </c>
      <c r="AE162" t="str">
        <f>IF(LISTADO_NOM!AK162="","",VLOOKUP(LISTADO_NOM!AK162,SEGUIMIENTOS,2,FALSE))</f>
        <v/>
      </c>
    </row>
    <row r="163" spans="26:31" x14ac:dyDescent="0.25">
      <c r="Z163" s="88" t="str">
        <f>IF(LISTADO_NOM!K163="","",DATE(LISTADO_NOM!M163,LISTADO_NOM!L163,LISTADO_NOM!K163))</f>
        <v/>
      </c>
      <c r="AA163" s="88" t="str">
        <f>IFERROR(INDEX($Z$14:$Z$300, MATCH(0, INDEX(COUNTIF($AA$13:AA162, $Z$14:$Z$300), 0, 0), 0)), "")</f>
        <v/>
      </c>
      <c r="AB163" s="88" t="str">
        <f t="shared" si="2"/>
        <v/>
      </c>
      <c r="AC163">
        <v>150</v>
      </c>
      <c r="AE163" t="str">
        <f>IF(LISTADO_NOM!AK163="","",VLOOKUP(LISTADO_NOM!AK163,SEGUIMIENTOS,2,FALSE))</f>
        <v/>
      </c>
    </row>
    <row r="164" spans="26:31" x14ac:dyDescent="0.25">
      <c r="Z164" s="88" t="str">
        <f>IF(LISTADO_NOM!K164="","",DATE(LISTADO_NOM!M164,LISTADO_NOM!L164,LISTADO_NOM!K164))</f>
        <v/>
      </c>
      <c r="AA164" s="88" t="str">
        <f>IFERROR(INDEX($Z$14:$Z$300, MATCH(0, INDEX(COUNTIF($AA$13:AA163, $Z$14:$Z$300), 0, 0), 0)), "")</f>
        <v/>
      </c>
      <c r="AB164" s="88" t="str">
        <f t="shared" si="2"/>
        <v/>
      </c>
      <c r="AC164">
        <v>151</v>
      </c>
      <c r="AE164" t="str">
        <f>IF(LISTADO_NOM!AK164="","",VLOOKUP(LISTADO_NOM!AK164,SEGUIMIENTOS,2,FALSE))</f>
        <v/>
      </c>
    </row>
    <row r="165" spans="26:31" x14ac:dyDescent="0.25">
      <c r="Z165" s="88" t="str">
        <f>IF(LISTADO_NOM!K165="","",DATE(LISTADO_NOM!M165,LISTADO_NOM!L165,LISTADO_NOM!K165))</f>
        <v/>
      </c>
      <c r="AA165" s="88" t="str">
        <f>IFERROR(INDEX($Z$14:$Z$300, MATCH(0, INDEX(COUNTIF($AA$13:AA164, $Z$14:$Z$300), 0, 0), 0)), "")</f>
        <v/>
      </c>
      <c r="AB165" s="88" t="str">
        <f t="shared" si="2"/>
        <v/>
      </c>
      <c r="AC165">
        <v>152</v>
      </c>
      <c r="AE165" t="str">
        <f>IF(LISTADO_NOM!AK165="","",VLOOKUP(LISTADO_NOM!AK165,SEGUIMIENTOS,2,FALSE))</f>
        <v/>
      </c>
    </row>
    <row r="166" spans="26:31" x14ac:dyDescent="0.25">
      <c r="Z166" s="88" t="str">
        <f>IF(LISTADO_NOM!K166="","",DATE(LISTADO_NOM!M166,LISTADO_NOM!L166,LISTADO_NOM!K166))</f>
        <v/>
      </c>
      <c r="AA166" s="88" t="str">
        <f>IFERROR(INDEX($Z$14:$Z$300, MATCH(0, INDEX(COUNTIF($AA$13:AA165, $Z$14:$Z$300), 0, 0), 0)), "")</f>
        <v/>
      </c>
      <c r="AB166" s="88" t="str">
        <f t="shared" si="2"/>
        <v/>
      </c>
      <c r="AC166">
        <v>153</v>
      </c>
      <c r="AE166" t="str">
        <f>IF(LISTADO_NOM!AK166="","",VLOOKUP(LISTADO_NOM!AK166,SEGUIMIENTOS,2,FALSE))</f>
        <v/>
      </c>
    </row>
    <row r="167" spans="26:31" x14ac:dyDescent="0.25">
      <c r="Z167" s="88" t="str">
        <f>IF(LISTADO_NOM!K167="","",DATE(LISTADO_NOM!M167,LISTADO_NOM!L167,LISTADO_NOM!K167))</f>
        <v/>
      </c>
      <c r="AA167" s="88" t="str">
        <f>IFERROR(INDEX($Z$14:$Z$300, MATCH(0, INDEX(COUNTIF($AA$13:AA166, $Z$14:$Z$300), 0, 0), 0)), "")</f>
        <v/>
      </c>
      <c r="AB167" s="88" t="str">
        <f t="shared" si="2"/>
        <v/>
      </c>
      <c r="AC167">
        <v>154</v>
      </c>
      <c r="AE167" t="str">
        <f>IF(LISTADO_NOM!AK167="","",VLOOKUP(LISTADO_NOM!AK167,SEGUIMIENTOS,2,FALSE))</f>
        <v/>
      </c>
    </row>
    <row r="168" spans="26:31" x14ac:dyDescent="0.25">
      <c r="Z168" s="88" t="str">
        <f>IF(LISTADO_NOM!K168="","",DATE(LISTADO_NOM!M168,LISTADO_NOM!L168,LISTADO_NOM!K168))</f>
        <v/>
      </c>
      <c r="AA168" s="88" t="str">
        <f>IFERROR(INDEX($Z$14:$Z$300, MATCH(0, INDEX(COUNTIF($AA$13:AA167, $Z$14:$Z$300), 0, 0), 0)), "")</f>
        <v/>
      </c>
      <c r="AB168" s="88" t="str">
        <f t="shared" si="2"/>
        <v/>
      </c>
      <c r="AC168">
        <v>155</v>
      </c>
      <c r="AE168" t="str">
        <f>IF(LISTADO_NOM!AK168="","",VLOOKUP(LISTADO_NOM!AK168,SEGUIMIENTOS,2,FALSE))</f>
        <v/>
      </c>
    </row>
    <row r="169" spans="26:31" x14ac:dyDescent="0.25">
      <c r="Z169" s="88" t="str">
        <f>IF(LISTADO_NOM!K169="","",DATE(LISTADO_NOM!M169,LISTADO_NOM!L169,LISTADO_NOM!K169))</f>
        <v/>
      </c>
      <c r="AA169" s="88" t="str">
        <f>IFERROR(INDEX($Z$14:$Z$300, MATCH(0, INDEX(COUNTIF($AA$13:AA168, $Z$14:$Z$300), 0, 0), 0)), "")</f>
        <v/>
      </c>
      <c r="AB169" s="88" t="str">
        <f t="shared" si="2"/>
        <v/>
      </c>
      <c r="AC169">
        <v>156</v>
      </c>
      <c r="AE169" t="str">
        <f>IF(LISTADO_NOM!AK169="","",VLOOKUP(LISTADO_NOM!AK169,SEGUIMIENTOS,2,FALSE))</f>
        <v/>
      </c>
    </row>
    <row r="170" spans="26:31" x14ac:dyDescent="0.25">
      <c r="Z170" s="88" t="str">
        <f>IF(LISTADO_NOM!K170="","",DATE(LISTADO_NOM!M170,LISTADO_NOM!L170,LISTADO_NOM!K170))</f>
        <v/>
      </c>
      <c r="AA170" s="88" t="str">
        <f>IFERROR(INDEX($Z$14:$Z$300, MATCH(0, INDEX(COUNTIF($AA$13:AA169, $Z$14:$Z$300), 0, 0), 0)), "")</f>
        <v/>
      </c>
      <c r="AB170" s="88" t="str">
        <f t="shared" si="2"/>
        <v/>
      </c>
      <c r="AC170">
        <v>157</v>
      </c>
      <c r="AE170" t="str">
        <f>IF(LISTADO_NOM!AK170="","",VLOOKUP(LISTADO_NOM!AK170,SEGUIMIENTOS,2,FALSE))</f>
        <v/>
      </c>
    </row>
    <row r="171" spans="26:31" x14ac:dyDescent="0.25">
      <c r="Z171" s="88" t="str">
        <f>IF(LISTADO_NOM!K171="","",DATE(LISTADO_NOM!M171,LISTADO_NOM!L171,LISTADO_NOM!K171))</f>
        <v/>
      </c>
      <c r="AA171" s="88" t="str">
        <f>IFERROR(INDEX($Z$14:$Z$300, MATCH(0, INDEX(COUNTIF($AA$13:AA170, $Z$14:$Z$300), 0, 0), 0)), "")</f>
        <v/>
      </c>
      <c r="AB171" s="88" t="str">
        <f t="shared" si="2"/>
        <v/>
      </c>
      <c r="AC171">
        <v>158</v>
      </c>
      <c r="AE171" t="str">
        <f>IF(LISTADO_NOM!AK171="","",VLOOKUP(LISTADO_NOM!AK171,SEGUIMIENTOS,2,FALSE))</f>
        <v/>
      </c>
    </row>
    <row r="172" spans="26:31" x14ac:dyDescent="0.25">
      <c r="Z172" s="88" t="str">
        <f>IF(LISTADO_NOM!K172="","",DATE(LISTADO_NOM!M172,LISTADO_NOM!L172,LISTADO_NOM!K172))</f>
        <v/>
      </c>
      <c r="AA172" s="88" t="str">
        <f>IFERROR(INDEX($Z$14:$Z$300, MATCH(0, INDEX(COUNTIF($AA$13:AA171, $Z$14:$Z$300), 0, 0), 0)), "")</f>
        <v/>
      </c>
      <c r="AB172" s="88" t="str">
        <f t="shared" si="2"/>
        <v/>
      </c>
      <c r="AC172">
        <v>159</v>
      </c>
      <c r="AE172" t="str">
        <f>IF(LISTADO_NOM!AK172="","",VLOOKUP(LISTADO_NOM!AK172,SEGUIMIENTOS,2,FALSE))</f>
        <v/>
      </c>
    </row>
    <row r="173" spans="26:31" x14ac:dyDescent="0.25">
      <c r="Z173" s="88" t="str">
        <f>IF(LISTADO_NOM!K173="","",DATE(LISTADO_NOM!M173,LISTADO_NOM!L173,LISTADO_NOM!K173))</f>
        <v/>
      </c>
      <c r="AA173" s="88" t="str">
        <f>IFERROR(INDEX($Z$14:$Z$300, MATCH(0, INDEX(COUNTIF($AA$13:AA172, $Z$14:$Z$300), 0, 0), 0)), "")</f>
        <v/>
      </c>
      <c r="AB173" s="88" t="str">
        <f t="shared" si="2"/>
        <v/>
      </c>
      <c r="AC173">
        <v>160</v>
      </c>
      <c r="AE173" t="str">
        <f>IF(LISTADO_NOM!AK173="","",VLOOKUP(LISTADO_NOM!AK173,SEGUIMIENTOS,2,FALSE))</f>
        <v/>
      </c>
    </row>
    <row r="174" spans="26:31" x14ac:dyDescent="0.25">
      <c r="Z174" s="88" t="str">
        <f>IF(LISTADO_NOM!K174="","",DATE(LISTADO_NOM!M174,LISTADO_NOM!L174,LISTADO_NOM!K174))</f>
        <v/>
      </c>
      <c r="AA174" s="88" t="str">
        <f>IFERROR(INDEX($Z$14:$Z$300, MATCH(0, INDEX(COUNTIF($AA$13:AA173, $Z$14:$Z$300), 0, 0), 0)), "")</f>
        <v/>
      </c>
      <c r="AB174" s="88" t="str">
        <f t="shared" si="2"/>
        <v/>
      </c>
      <c r="AC174">
        <v>161</v>
      </c>
      <c r="AE174" t="str">
        <f>IF(LISTADO_NOM!AK174="","",VLOOKUP(LISTADO_NOM!AK174,SEGUIMIENTOS,2,FALSE))</f>
        <v/>
      </c>
    </row>
    <row r="175" spans="26:31" x14ac:dyDescent="0.25">
      <c r="Z175" s="88" t="str">
        <f>IF(LISTADO_NOM!K175="","",DATE(LISTADO_NOM!M175,LISTADO_NOM!L175,LISTADO_NOM!K175))</f>
        <v/>
      </c>
      <c r="AA175" s="88" t="str">
        <f>IFERROR(INDEX($Z$14:$Z$300, MATCH(0, INDEX(COUNTIF($AA$13:AA174, $Z$14:$Z$300), 0, 0), 0)), "")</f>
        <v/>
      </c>
      <c r="AB175" s="88" t="str">
        <f t="shared" si="2"/>
        <v/>
      </c>
      <c r="AC175">
        <v>162</v>
      </c>
      <c r="AE175" t="str">
        <f>IF(LISTADO_NOM!AK175="","",VLOOKUP(LISTADO_NOM!AK175,SEGUIMIENTOS,2,FALSE))</f>
        <v/>
      </c>
    </row>
    <row r="176" spans="26:31" x14ac:dyDescent="0.25">
      <c r="Z176" s="88" t="str">
        <f>IF(LISTADO_NOM!K176="","",DATE(LISTADO_NOM!M176,LISTADO_NOM!L176,LISTADO_NOM!K176))</f>
        <v/>
      </c>
      <c r="AA176" s="88" t="str">
        <f>IFERROR(INDEX($Z$14:$Z$300, MATCH(0, INDEX(COUNTIF($AA$13:AA175, $Z$14:$Z$300), 0, 0), 0)), "")</f>
        <v/>
      </c>
      <c r="AB176" s="88" t="str">
        <f t="shared" si="2"/>
        <v/>
      </c>
      <c r="AC176">
        <v>163</v>
      </c>
      <c r="AE176" t="str">
        <f>IF(LISTADO_NOM!AK176="","",VLOOKUP(LISTADO_NOM!AK176,SEGUIMIENTOS,2,FALSE))</f>
        <v/>
      </c>
    </row>
    <row r="177" spans="26:31" x14ac:dyDescent="0.25">
      <c r="Z177" s="88" t="str">
        <f>IF(LISTADO_NOM!K177="","",DATE(LISTADO_NOM!M177,LISTADO_NOM!L177,LISTADO_NOM!K177))</f>
        <v/>
      </c>
      <c r="AA177" s="88" t="str">
        <f>IFERROR(INDEX($Z$14:$Z$300, MATCH(0, INDEX(COUNTIF($AA$13:AA176, $Z$14:$Z$300), 0, 0), 0)), "")</f>
        <v/>
      </c>
      <c r="AB177" s="88" t="str">
        <f t="shared" si="2"/>
        <v/>
      </c>
      <c r="AC177">
        <v>164</v>
      </c>
      <c r="AE177" t="str">
        <f>IF(LISTADO_NOM!AK177="","",VLOOKUP(LISTADO_NOM!AK177,SEGUIMIENTOS,2,FALSE))</f>
        <v/>
      </c>
    </row>
    <row r="178" spans="26:31" x14ac:dyDescent="0.25">
      <c r="Z178" s="88" t="str">
        <f>IF(LISTADO_NOM!K178="","",DATE(LISTADO_NOM!M178,LISTADO_NOM!L178,LISTADO_NOM!K178))</f>
        <v/>
      </c>
      <c r="AA178" s="88" t="str">
        <f>IFERROR(INDEX($Z$14:$Z$300, MATCH(0, INDEX(COUNTIF($AA$13:AA177, $Z$14:$Z$300), 0, 0), 0)), "")</f>
        <v/>
      </c>
      <c r="AB178" s="88" t="str">
        <f t="shared" si="2"/>
        <v/>
      </c>
      <c r="AC178">
        <v>165</v>
      </c>
      <c r="AE178" t="str">
        <f>IF(LISTADO_NOM!AK178="","",VLOOKUP(LISTADO_NOM!AK178,SEGUIMIENTOS,2,FALSE))</f>
        <v/>
      </c>
    </row>
    <row r="179" spans="26:31" x14ac:dyDescent="0.25">
      <c r="Z179" s="88" t="str">
        <f>IF(LISTADO_NOM!K179="","",DATE(LISTADO_NOM!M179,LISTADO_NOM!L179,LISTADO_NOM!K179))</f>
        <v/>
      </c>
      <c r="AA179" s="88" t="str">
        <f>IFERROR(INDEX($Z$14:$Z$300, MATCH(0, INDEX(COUNTIF($AA$13:AA178, $Z$14:$Z$300), 0, 0), 0)), "")</f>
        <v/>
      </c>
      <c r="AB179" s="88" t="str">
        <f t="shared" si="2"/>
        <v/>
      </c>
      <c r="AC179">
        <v>166</v>
      </c>
      <c r="AE179" t="str">
        <f>IF(LISTADO_NOM!AK179="","",VLOOKUP(LISTADO_NOM!AK179,SEGUIMIENTOS,2,FALSE))</f>
        <v/>
      </c>
    </row>
    <row r="180" spans="26:31" x14ac:dyDescent="0.25">
      <c r="Z180" s="88" t="str">
        <f>IF(LISTADO_NOM!K180="","",DATE(LISTADO_NOM!M180,LISTADO_NOM!L180,LISTADO_NOM!K180))</f>
        <v/>
      </c>
      <c r="AA180" s="88" t="str">
        <f>IFERROR(INDEX($Z$14:$Z$300, MATCH(0, INDEX(COUNTIF($AA$13:AA179, $Z$14:$Z$300), 0, 0), 0)), "")</f>
        <v/>
      </c>
      <c r="AB180" s="88" t="str">
        <f t="shared" si="2"/>
        <v/>
      </c>
      <c r="AC180">
        <v>167</v>
      </c>
      <c r="AE180" t="str">
        <f>IF(LISTADO_NOM!AK180="","",VLOOKUP(LISTADO_NOM!AK180,SEGUIMIENTOS,2,FALSE))</f>
        <v/>
      </c>
    </row>
    <row r="181" spans="26:31" x14ac:dyDescent="0.25">
      <c r="Z181" s="88" t="str">
        <f>IF(LISTADO_NOM!K181="","",DATE(LISTADO_NOM!M181,LISTADO_NOM!L181,LISTADO_NOM!K181))</f>
        <v/>
      </c>
      <c r="AA181" s="88" t="str">
        <f>IFERROR(INDEX($Z$14:$Z$300, MATCH(0, INDEX(COUNTIF($AA$13:AA180, $Z$14:$Z$300), 0, 0), 0)), "")</f>
        <v/>
      </c>
      <c r="AB181" s="88" t="str">
        <f t="shared" si="2"/>
        <v/>
      </c>
      <c r="AC181">
        <v>168</v>
      </c>
      <c r="AE181" t="str">
        <f>IF(LISTADO_NOM!AK181="","",VLOOKUP(LISTADO_NOM!AK181,SEGUIMIENTOS,2,FALSE))</f>
        <v/>
      </c>
    </row>
    <row r="182" spans="26:31" x14ac:dyDescent="0.25">
      <c r="Z182" s="88" t="str">
        <f>IF(LISTADO_NOM!K182="","",DATE(LISTADO_NOM!M182,LISTADO_NOM!L182,LISTADO_NOM!K182))</f>
        <v/>
      </c>
      <c r="AA182" s="88" t="str">
        <f>IFERROR(INDEX($Z$14:$Z$300, MATCH(0, INDEX(COUNTIF($AA$13:AA181, $Z$14:$Z$300), 0, 0), 0)), "")</f>
        <v/>
      </c>
      <c r="AB182" s="88" t="str">
        <f t="shared" si="2"/>
        <v/>
      </c>
      <c r="AC182">
        <v>169</v>
      </c>
      <c r="AE182" t="str">
        <f>IF(LISTADO_NOM!AK182="","",VLOOKUP(LISTADO_NOM!AK182,SEGUIMIENTOS,2,FALSE))</f>
        <v/>
      </c>
    </row>
    <row r="183" spans="26:31" x14ac:dyDescent="0.25">
      <c r="Z183" s="88" t="str">
        <f>IF(LISTADO_NOM!K183="","",DATE(LISTADO_NOM!M183,LISTADO_NOM!L183,LISTADO_NOM!K183))</f>
        <v/>
      </c>
      <c r="AA183" s="88" t="str">
        <f>IFERROR(INDEX($Z$14:$Z$300, MATCH(0, INDEX(COUNTIF($AA$13:AA182, $Z$14:$Z$300), 0, 0), 0)), "")</f>
        <v/>
      </c>
      <c r="AB183" s="88" t="str">
        <f t="shared" si="2"/>
        <v/>
      </c>
      <c r="AC183">
        <v>170</v>
      </c>
      <c r="AE183" t="str">
        <f>IF(LISTADO_NOM!AK183="","",VLOOKUP(LISTADO_NOM!AK183,SEGUIMIENTOS,2,FALSE))</f>
        <v/>
      </c>
    </row>
    <row r="184" spans="26:31" x14ac:dyDescent="0.25">
      <c r="Z184" s="88" t="str">
        <f>IF(LISTADO_NOM!K184="","",DATE(LISTADO_NOM!M184,LISTADO_NOM!L184,LISTADO_NOM!K184))</f>
        <v/>
      </c>
      <c r="AA184" s="88" t="str">
        <f>IFERROR(INDEX($Z$14:$Z$300, MATCH(0, INDEX(COUNTIF($AA$13:AA183, $Z$14:$Z$300), 0, 0), 0)), "")</f>
        <v/>
      </c>
      <c r="AB184" s="88" t="str">
        <f t="shared" si="2"/>
        <v/>
      </c>
      <c r="AC184">
        <v>171</v>
      </c>
      <c r="AE184" t="str">
        <f>IF(LISTADO_NOM!AK184="","",VLOOKUP(LISTADO_NOM!AK184,SEGUIMIENTOS,2,FALSE))</f>
        <v/>
      </c>
    </row>
    <row r="185" spans="26:31" x14ac:dyDescent="0.25">
      <c r="Z185" s="88" t="str">
        <f>IF(LISTADO_NOM!K185="","",DATE(LISTADO_NOM!M185,LISTADO_NOM!L185,LISTADO_NOM!K185))</f>
        <v/>
      </c>
      <c r="AA185" s="88" t="str">
        <f>IFERROR(INDEX($Z$14:$Z$300, MATCH(0, INDEX(COUNTIF($AA$13:AA184, $Z$14:$Z$300), 0, 0), 0)), "")</f>
        <v/>
      </c>
      <c r="AB185" s="88" t="str">
        <f t="shared" si="2"/>
        <v/>
      </c>
      <c r="AC185">
        <v>172</v>
      </c>
      <c r="AE185" t="str">
        <f>IF(LISTADO_NOM!AK185="","",VLOOKUP(LISTADO_NOM!AK185,SEGUIMIENTOS,2,FALSE))</f>
        <v/>
      </c>
    </row>
    <row r="186" spans="26:31" x14ac:dyDescent="0.25">
      <c r="Z186" s="88" t="str">
        <f>IF(LISTADO_NOM!K186="","",DATE(LISTADO_NOM!M186,LISTADO_NOM!L186,LISTADO_NOM!K186))</f>
        <v/>
      </c>
      <c r="AA186" s="88" t="str">
        <f>IFERROR(INDEX($Z$14:$Z$300, MATCH(0, INDEX(COUNTIF($AA$13:AA185, $Z$14:$Z$300), 0, 0), 0)), "")</f>
        <v/>
      </c>
      <c r="AB186" s="88" t="str">
        <f t="shared" si="2"/>
        <v/>
      </c>
      <c r="AC186">
        <v>173</v>
      </c>
      <c r="AE186" t="str">
        <f>IF(LISTADO_NOM!AK186="","",VLOOKUP(LISTADO_NOM!AK186,SEGUIMIENTOS,2,FALSE))</f>
        <v/>
      </c>
    </row>
    <row r="187" spans="26:31" x14ac:dyDescent="0.25">
      <c r="Z187" s="88" t="str">
        <f>IF(LISTADO_NOM!K187="","",DATE(LISTADO_NOM!M187,LISTADO_NOM!L187,LISTADO_NOM!K187))</f>
        <v/>
      </c>
      <c r="AA187" s="88" t="str">
        <f>IFERROR(INDEX($Z$14:$Z$300, MATCH(0, INDEX(COUNTIF($AA$13:AA186, $Z$14:$Z$300), 0, 0), 0)), "")</f>
        <v/>
      </c>
      <c r="AB187" s="88" t="str">
        <f t="shared" si="2"/>
        <v/>
      </c>
      <c r="AC187">
        <v>174</v>
      </c>
      <c r="AE187" t="str">
        <f>IF(LISTADO_NOM!AK187="","",VLOOKUP(LISTADO_NOM!AK187,SEGUIMIENTOS,2,FALSE))</f>
        <v/>
      </c>
    </row>
    <row r="188" spans="26:31" x14ac:dyDescent="0.25">
      <c r="Z188" s="88" t="str">
        <f>IF(LISTADO_NOM!K188="","",DATE(LISTADO_NOM!M188,LISTADO_NOM!L188,LISTADO_NOM!K188))</f>
        <v/>
      </c>
      <c r="AA188" s="88" t="str">
        <f>IFERROR(INDEX($Z$14:$Z$300, MATCH(0, INDEX(COUNTIF($AA$13:AA187, $Z$14:$Z$300), 0, 0), 0)), "")</f>
        <v/>
      </c>
      <c r="AB188" s="88" t="str">
        <f t="shared" si="2"/>
        <v/>
      </c>
      <c r="AC188">
        <v>175</v>
      </c>
      <c r="AE188" t="str">
        <f>IF(LISTADO_NOM!AK188="","",VLOOKUP(LISTADO_NOM!AK188,SEGUIMIENTOS,2,FALSE))</f>
        <v/>
      </c>
    </row>
    <row r="189" spans="26:31" x14ac:dyDescent="0.25">
      <c r="Z189" s="88" t="str">
        <f>IF(LISTADO_NOM!K189="","",DATE(LISTADO_NOM!M189,LISTADO_NOM!L189,LISTADO_NOM!K189))</f>
        <v/>
      </c>
      <c r="AA189" s="88" t="str">
        <f>IFERROR(INDEX($Z$14:$Z$300, MATCH(0, INDEX(COUNTIF($AA$13:AA188, $Z$14:$Z$300), 0, 0), 0)), "")</f>
        <v/>
      </c>
      <c r="AB189" s="88" t="str">
        <f t="shared" si="2"/>
        <v/>
      </c>
      <c r="AC189">
        <v>176</v>
      </c>
      <c r="AE189" t="str">
        <f>IF(LISTADO_NOM!AK189="","",VLOOKUP(LISTADO_NOM!AK189,SEGUIMIENTOS,2,FALSE))</f>
        <v/>
      </c>
    </row>
    <row r="190" spans="26:31" x14ac:dyDescent="0.25">
      <c r="Z190" s="88" t="str">
        <f>IF(LISTADO_NOM!K190="","",DATE(LISTADO_NOM!M190,LISTADO_NOM!L190,LISTADO_NOM!K190))</f>
        <v/>
      </c>
      <c r="AA190" s="88" t="str">
        <f>IFERROR(INDEX($Z$14:$Z$300, MATCH(0, INDEX(COUNTIF($AA$13:AA189, $Z$14:$Z$300), 0, 0), 0)), "")</f>
        <v/>
      </c>
      <c r="AB190" s="88" t="str">
        <f t="shared" si="2"/>
        <v/>
      </c>
      <c r="AC190">
        <v>177</v>
      </c>
      <c r="AE190" t="str">
        <f>IF(LISTADO_NOM!AK190="","",VLOOKUP(LISTADO_NOM!AK190,SEGUIMIENTOS,2,FALSE))</f>
        <v/>
      </c>
    </row>
    <row r="191" spans="26:31" x14ac:dyDescent="0.25">
      <c r="Z191" s="88" t="str">
        <f>IF(LISTADO_NOM!K191="","",DATE(LISTADO_NOM!M191,LISTADO_NOM!L191,LISTADO_NOM!K191))</f>
        <v/>
      </c>
      <c r="AA191" s="88" t="str">
        <f>IFERROR(INDEX($Z$14:$Z$300, MATCH(0, INDEX(COUNTIF($AA$13:AA190, $Z$14:$Z$300), 0, 0), 0)), "")</f>
        <v/>
      </c>
      <c r="AB191" s="88" t="str">
        <f t="shared" si="2"/>
        <v/>
      </c>
      <c r="AC191">
        <v>178</v>
      </c>
      <c r="AE191" t="str">
        <f>IF(LISTADO_NOM!AK191="","",VLOOKUP(LISTADO_NOM!AK191,SEGUIMIENTOS,2,FALSE))</f>
        <v/>
      </c>
    </row>
    <row r="192" spans="26:31" x14ac:dyDescent="0.25">
      <c r="Z192" s="88" t="str">
        <f>IF(LISTADO_NOM!K192="","",DATE(LISTADO_NOM!M192,LISTADO_NOM!L192,LISTADO_NOM!K192))</f>
        <v/>
      </c>
      <c r="AA192" s="88" t="str">
        <f>IFERROR(INDEX($Z$14:$Z$300, MATCH(0, INDEX(COUNTIF($AA$13:AA191, $Z$14:$Z$300), 0, 0), 0)), "")</f>
        <v/>
      </c>
      <c r="AB192" s="88" t="str">
        <f t="shared" si="2"/>
        <v/>
      </c>
      <c r="AC192">
        <v>179</v>
      </c>
      <c r="AE192" t="str">
        <f>IF(LISTADO_NOM!AK192="","",VLOOKUP(LISTADO_NOM!AK192,SEGUIMIENTOS,2,FALSE))</f>
        <v/>
      </c>
    </row>
    <row r="193" spans="26:31" x14ac:dyDescent="0.25">
      <c r="Z193" s="88" t="str">
        <f>IF(LISTADO_NOM!K193="","",DATE(LISTADO_NOM!M193,LISTADO_NOM!L193,LISTADO_NOM!K193))</f>
        <v/>
      </c>
      <c r="AA193" s="88" t="str">
        <f>IFERROR(INDEX($Z$14:$Z$300, MATCH(0, INDEX(COUNTIF($AA$13:AA192, $Z$14:$Z$300), 0, 0), 0)), "")</f>
        <v/>
      </c>
      <c r="AB193" s="88" t="str">
        <f t="shared" si="2"/>
        <v/>
      </c>
      <c r="AC193">
        <v>180</v>
      </c>
      <c r="AE193" t="str">
        <f>IF(LISTADO_NOM!AK193="","",VLOOKUP(LISTADO_NOM!AK193,SEGUIMIENTOS,2,FALSE))</f>
        <v/>
      </c>
    </row>
    <row r="194" spans="26:31" x14ac:dyDescent="0.25">
      <c r="Z194" s="88" t="str">
        <f>IF(LISTADO_NOM!K194="","",DATE(LISTADO_NOM!M194,LISTADO_NOM!L194,LISTADO_NOM!K194))</f>
        <v/>
      </c>
      <c r="AA194" s="88" t="str">
        <f>IFERROR(INDEX($Z$14:$Z$300, MATCH(0, INDEX(COUNTIF($AA$13:AA193, $Z$14:$Z$300), 0, 0), 0)), "")</f>
        <v/>
      </c>
      <c r="AB194" s="88" t="str">
        <f t="shared" si="2"/>
        <v/>
      </c>
      <c r="AC194">
        <v>181</v>
      </c>
      <c r="AE194" t="str">
        <f>IF(LISTADO_NOM!AK194="","",VLOOKUP(LISTADO_NOM!AK194,SEGUIMIENTOS,2,FALSE))</f>
        <v/>
      </c>
    </row>
    <row r="195" spans="26:31" x14ac:dyDescent="0.25">
      <c r="Z195" s="88" t="str">
        <f>IF(LISTADO_NOM!K195="","",DATE(LISTADO_NOM!M195,LISTADO_NOM!L195,LISTADO_NOM!K195))</f>
        <v/>
      </c>
      <c r="AA195" s="88" t="str">
        <f>IFERROR(INDEX($Z$14:$Z$300, MATCH(0, INDEX(COUNTIF($AA$13:AA194, $Z$14:$Z$300), 0, 0), 0)), "")</f>
        <v/>
      </c>
      <c r="AB195" s="88" t="str">
        <f t="shared" si="2"/>
        <v/>
      </c>
      <c r="AC195">
        <v>182</v>
      </c>
      <c r="AE195" t="str">
        <f>IF(LISTADO_NOM!AK195="","",VLOOKUP(LISTADO_NOM!AK195,SEGUIMIENTOS,2,FALSE))</f>
        <v/>
      </c>
    </row>
    <row r="196" spans="26:31" x14ac:dyDescent="0.25">
      <c r="Z196" s="88" t="str">
        <f>IF(LISTADO_NOM!K196="","",DATE(LISTADO_NOM!M196,LISTADO_NOM!L196,LISTADO_NOM!K196))</f>
        <v/>
      </c>
      <c r="AA196" s="88" t="str">
        <f>IFERROR(INDEX($Z$14:$Z$300, MATCH(0, INDEX(COUNTIF($AA$13:AA195, $Z$14:$Z$300), 0, 0), 0)), "")</f>
        <v/>
      </c>
      <c r="AB196" s="88" t="str">
        <f t="shared" si="2"/>
        <v/>
      </c>
      <c r="AC196">
        <v>183</v>
      </c>
      <c r="AE196" t="str">
        <f>IF(LISTADO_NOM!AK196="","",VLOOKUP(LISTADO_NOM!AK196,SEGUIMIENTOS,2,FALSE))</f>
        <v/>
      </c>
    </row>
    <row r="197" spans="26:31" x14ac:dyDescent="0.25">
      <c r="Z197" s="88" t="str">
        <f>IF(LISTADO_NOM!K197="","",DATE(LISTADO_NOM!M197,LISTADO_NOM!L197,LISTADO_NOM!K197))</f>
        <v/>
      </c>
      <c r="AA197" s="88" t="str">
        <f>IFERROR(INDEX($Z$14:$Z$300, MATCH(0, INDEX(COUNTIF($AA$13:AA196, $Z$14:$Z$300), 0, 0), 0)), "")</f>
        <v/>
      </c>
      <c r="AB197" s="88" t="str">
        <f t="shared" si="2"/>
        <v/>
      </c>
      <c r="AC197">
        <v>184</v>
      </c>
      <c r="AE197" t="str">
        <f>IF(LISTADO_NOM!AK197="","",VLOOKUP(LISTADO_NOM!AK197,SEGUIMIENTOS,2,FALSE))</f>
        <v/>
      </c>
    </row>
    <row r="198" spans="26:31" x14ac:dyDescent="0.25">
      <c r="Z198" s="88" t="str">
        <f>IF(LISTADO_NOM!K198="","",DATE(LISTADO_NOM!M198,LISTADO_NOM!L198,LISTADO_NOM!K198))</f>
        <v/>
      </c>
      <c r="AA198" s="88" t="str">
        <f>IFERROR(INDEX($Z$14:$Z$300, MATCH(0, INDEX(COUNTIF($AA$13:AA197, $Z$14:$Z$300), 0, 0), 0)), "")</f>
        <v/>
      </c>
      <c r="AB198" s="88" t="str">
        <f t="shared" si="2"/>
        <v/>
      </c>
      <c r="AC198">
        <v>185</v>
      </c>
      <c r="AE198" t="str">
        <f>IF(LISTADO_NOM!AK198="","",VLOOKUP(LISTADO_NOM!AK198,SEGUIMIENTOS,2,FALSE))</f>
        <v/>
      </c>
    </row>
    <row r="199" spans="26:31" x14ac:dyDescent="0.25">
      <c r="Z199" s="88" t="str">
        <f>IF(LISTADO_NOM!K199="","",DATE(LISTADO_NOM!M199,LISTADO_NOM!L199,LISTADO_NOM!K199))</f>
        <v/>
      </c>
      <c r="AA199" s="88" t="str">
        <f>IFERROR(INDEX($Z$14:$Z$300, MATCH(0, INDEX(COUNTIF($AA$13:AA198, $Z$14:$Z$300), 0, 0), 0)), "")</f>
        <v/>
      </c>
      <c r="AB199" s="88" t="str">
        <f t="shared" si="2"/>
        <v/>
      </c>
      <c r="AC199">
        <v>186</v>
      </c>
      <c r="AE199" t="str">
        <f>IF(LISTADO_NOM!AK199="","",VLOOKUP(LISTADO_NOM!AK199,SEGUIMIENTOS,2,FALSE))</f>
        <v/>
      </c>
    </row>
    <row r="200" spans="26:31" x14ac:dyDescent="0.25">
      <c r="Z200" s="88" t="str">
        <f>IF(LISTADO_NOM!K200="","",DATE(LISTADO_NOM!M200,LISTADO_NOM!L200,LISTADO_NOM!K200))</f>
        <v/>
      </c>
      <c r="AA200" s="88" t="str">
        <f>IFERROR(INDEX($Z$14:$Z$300, MATCH(0, INDEX(COUNTIF($AA$13:AA199, $Z$14:$Z$300), 0, 0), 0)), "")</f>
        <v/>
      </c>
      <c r="AB200" s="88" t="str">
        <f t="shared" si="2"/>
        <v/>
      </c>
      <c r="AC200">
        <v>187</v>
      </c>
      <c r="AE200" t="str">
        <f>IF(LISTADO_NOM!AK200="","",VLOOKUP(LISTADO_NOM!AK200,SEGUIMIENTOS,2,FALSE))</f>
        <v/>
      </c>
    </row>
    <row r="201" spans="26:31" x14ac:dyDescent="0.25">
      <c r="Z201" s="88" t="str">
        <f>IF(LISTADO_NOM!K201="","",DATE(LISTADO_NOM!M201,LISTADO_NOM!L201,LISTADO_NOM!K201))</f>
        <v/>
      </c>
      <c r="AA201" s="88" t="str">
        <f>IFERROR(INDEX($Z$14:$Z$300, MATCH(0, INDEX(COUNTIF($AA$13:AA200, $Z$14:$Z$300), 0, 0), 0)), "")</f>
        <v/>
      </c>
      <c r="AB201" s="88" t="str">
        <f t="shared" si="2"/>
        <v/>
      </c>
      <c r="AC201">
        <v>188</v>
      </c>
      <c r="AE201" t="str">
        <f>IF(LISTADO_NOM!AK201="","",VLOOKUP(LISTADO_NOM!AK201,SEGUIMIENTOS,2,FALSE))</f>
        <v/>
      </c>
    </row>
    <row r="202" spans="26:31" x14ac:dyDescent="0.25">
      <c r="Z202" s="88" t="str">
        <f>IF(LISTADO_NOM!K202="","",DATE(LISTADO_NOM!M202,LISTADO_NOM!L202,LISTADO_NOM!K202))</f>
        <v/>
      </c>
      <c r="AA202" s="88" t="str">
        <f>IFERROR(INDEX($Z$14:$Z$300, MATCH(0, INDEX(COUNTIF($AA$13:AA201, $Z$14:$Z$300), 0, 0), 0)), "")</f>
        <v/>
      </c>
      <c r="AB202" s="88" t="str">
        <f t="shared" si="2"/>
        <v/>
      </c>
      <c r="AC202">
        <v>189</v>
      </c>
      <c r="AE202" t="str">
        <f>IF(LISTADO_NOM!AK202="","",VLOOKUP(LISTADO_NOM!AK202,SEGUIMIENTOS,2,FALSE))</f>
        <v/>
      </c>
    </row>
    <row r="203" spans="26:31" x14ac:dyDescent="0.25">
      <c r="Z203" s="88" t="str">
        <f>IF(LISTADO_NOM!K203="","",DATE(LISTADO_NOM!M203,LISTADO_NOM!L203,LISTADO_NOM!K203))</f>
        <v/>
      </c>
      <c r="AA203" s="88" t="str">
        <f>IFERROR(INDEX($Z$14:$Z$300, MATCH(0, INDEX(COUNTIF($AA$13:AA202, $Z$14:$Z$300), 0, 0), 0)), "")</f>
        <v/>
      </c>
      <c r="AB203" s="88" t="str">
        <f t="shared" si="2"/>
        <v/>
      </c>
      <c r="AC203">
        <v>190</v>
      </c>
      <c r="AE203" t="str">
        <f>IF(LISTADO_NOM!AK203="","",VLOOKUP(LISTADO_NOM!AK203,SEGUIMIENTOS,2,FALSE))</f>
        <v/>
      </c>
    </row>
    <row r="204" spans="26:31" x14ac:dyDescent="0.25">
      <c r="Z204" s="88" t="str">
        <f>IF(LISTADO_NOM!K204="","",DATE(LISTADO_NOM!M204,LISTADO_NOM!L204,LISTADO_NOM!K204))</f>
        <v/>
      </c>
      <c r="AA204" s="88" t="str">
        <f>IFERROR(INDEX($Z$14:$Z$300, MATCH(0, INDEX(COUNTIF($AA$13:AA203, $Z$14:$Z$300), 0, 0), 0)), "")</f>
        <v/>
      </c>
      <c r="AB204" s="88" t="str">
        <f t="shared" si="2"/>
        <v/>
      </c>
      <c r="AC204">
        <v>191</v>
      </c>
      <c r="AE204" t="str">
        <f>IF(LISTADO_NOM!AK204="","",VLOOKUP(LISTADO_NOM!AK204,SEGUIMIENTOS,2,FALSE))</f>
        <v/>
      </c>
    </row>
    <row r="205" spans="26:31" x14ac:dyDescent="0.25">
      <c r="Z205" s="88" t="str">
        <f>IF(LISTADO_NOM!K205="","",DATE(LISTADO_NOM!M205,LISTADO_NOM!L205,LISTADO_NOM!K205))</f>
        <v/>
      </c>
      <c r="AA205" s="88" t="str">
        <f>IFERROR(INDEX($Z$14:$Z$300, MATCH(0, INDEX(COUNTIF($AA$13:AA204, $Z$14:$Z$300), 0, 0), 0)), "")</f>
        <v/>
      </c>
      <c r="AB205" s="88" t="str">
        <f t="shared" si="2"/>
        <v/>
      </c>
      <c r="AC205">
        <v>192</v>
      </c>
      <c r="AE205" t="str">
        <f>IF(LISTADO_NOM!AK205="","",VLOOKUP(LISTADO_NOM!AK205,SEGUIMIENTOS,2,FALSE))</f>
        <v/>
      </c>
    </row>
    <row r="206" spans="26:31" x14ac:dyDescent="0.25">
      <c r="Z206" s="88" t="str">
        <f>IF(LISTADO_NOM!K206="","",DATE(LISTADO_NOM!M206,LISTADO_NOM!L206,LISTADO_NOM!K206))</f>
        <v/>
      </c>
      <c r="AA206" s="88" t="str">
        <f>IFERROR(INDEX($Z$14:$Z$300, MATCH(0, INDEX(COUNTIF($AA$13:AA205, $Z$14:$Z$300), 0, 0), 0)), "")</f>
        <v/>
      </c>
      <c r="AB206" s="88" t="str">
        <f t="shared" ref="AB206:AB269" si="3">IF(AA206="","",SMALL(ORDENA_,AC206))</f>
        <v/>
      </c>
      <c r="AC206">
        <v>193</v>
      </c>
      <c r="AE206" t="str">
        <f>IF(LISTADO_NOM!AK206="","",VLOOKUP(LISTADO_NOM!AK206,SEGUIMIENTOS,2,FALSE))</f>
        <v/>
      </c>
    </row>
    <row r="207" spans="26:31" x14ac:dyDescent="0.25">
      <c r="Z207" s="88" t="str">
        <f>IF(LISTADO_NOM!K207="","",DATE(LISTADO_NOM!M207,LISTADO_NOM!L207,LISTADO_NOM!K207))</f>
        <v/>
      </c>
      <c r="AA207" s="88" t="str">
        <f>IFERROR(INDEX($Z$14:$Z$300, MATCH(0, INDEX(COUNTIF($AA$13:AA206, $Z$14:$Z$300), 0, 0), 0)), "")</f>
        <v/>
      </c>
      <c r="AB207" s="88" t="str">
        <f t="shared" si="3"/>
        <v/>
      </c>
      <c r="AC207">
        <v>194</v>
      </c>
      <c r="AE207" t="str">
        <f>IF(LISTADO_NOM!AK207="","",VLOOKUP(LISTADO_NOM!AK207,SEGUIMIENTOS,2,FALSE))</f>
        <v/>
      </c>
    </row>
    <row r="208" spans="26:31" x14ac:dyDescent="0.25">
      <c r="Z208" s="88" t="str">
        <f>IF(LISTADO_NOM!K208="","",DATE(LISTADO_NOM!M208,LISTADO_NOM!L208,LISTADO_NOM!K208))</f>
        <v/>
      </c>
      <c r="AA208" s="88" t="str">
        <f>IFERROR(INDEX($Z$14:$Z$300, MATCH(0, INDEX(COUNTIF($AA$13:AA207, $Z$14:$Z$300), 0, 0), 0)), "")</f>
        <v/>
      </c>
      <c r="AB208" s="88" t="str">
        <f t="shared" si="3"/>
        <v/>
      </c>
      <c r="AC208">
        <v>195</v>
      </c>
      <c r="AE208" t="str">
        <f>IF(LISTADO_NOM!AK208="","",VLOOKUP(LISTADO_NOM!AK208,SEGUIMIENTOS,2,FALSE))</f>
        <v/>
      </c>
    </row>
    <row r="209" spans="26:31" x14ac:dyDescent="0.25">
      <c r="Z209" s="88" t="str">
        <f>IF(LISTADO_NOM!K209="","",DATE(LISTADO_NOM!M209,LISTADO_NOM!L209,LISTADO_NOM!K209))</f>
        <v/>
      </c>
      <c r="AA209" s="88" t="str">
        <f>IFERROR(INDEX($Z$14:$Z$300, MATCH(0, INDEX(COUNTIF($AA$13:AA208, $Z$14:$Z$300), 0, 0), 0)), "")</f>
        <v/>
      </c>
      <c r="AB209" s="88" t="str">
        <f t="shared" si="3"/>
        <v/>
      </c>
      <c r="AC209">
        <v>196</v>
      </c>
      <c r="AE209" t="str">
        <f>IF(LISTADO_NOM!AK209="","",VLOOKUP(LISTADO_NOM!AK209,SEGUIMIENTOS,2,FALSE))</f>
        <v/>
      </c>
    </row>
    <row r="210" spans="26:31" x14ac:dyDescent="0.25">
      <c r="Z210" s="88" t="str">
        <f>IF(LISTADO_NOM!K210="","",DATE(LISTADO_NOM!M210,LISTADO_NOM!L210,LISTADO_NOM!K210))</f>
        <v/>
      </c>
      <c r="AA210" s="88" t="str">
        <f>IFERROR(INDEX($Z$14:$Z$300, MATCH(0, INDEX(COUNTIF($AA$13:AA209, $Z$14:$Z$300), 0, 0), 0)), "")</f>
        <v/>
      </c>
      <c r="AB210" s="88" t="str">
        <f t="shared" si="3"/>
        <v/>
      </c>
      <c r="AC210">
        <v>197</v>
      </c>
      <c r="AE210" t="str">
        <f>IF(LISTADO_NOM!AK210="","",VLOOKUP(LISTADO_NOM!AK210,SEGUIMIENTOS,2,FALSE))</f>
        <v/>
      </c>
    </row>
    <row r="211" spans="26:31" x14ac:dyDescent="0.25">
      <c r="Z211" s="88" t="str">
        <f>IF(LISTADO_NOM!K211="","",DATE(LISTADO_NOM!M211,LISTADO_NOM!L211,LISTADO_NOM!K211))</f>
        <v/>
      </c>
      <c r="AA211" s="88" t="str">
        <f>IFERROR(INDEX($Z$14:$Z$300, MATCH(0, INDEX(COUNTIF($AA$13:AA210, $Z$14:$Z$300), 0, 0), 0)), "")</f>
        <v/>
      </c>
      <c r="AB211" s="88" t="str">
        <f t="shared" si="3"/>
        <v/>
      </c>
      <c r="AC211">
        <v>198</v>
      </c>
      <c r="AE211" t="str">
        <f>IF(LISTADO_NOM!AK211="","",VLOOKUP(LISTADO_NOM!AK211,SEGUIMIENTOS,2,FALSE))</f>
        <v/>
      </c>
    </row>
    <row r="212" spans="26:31" x14ac:dyDescent="0.25">
      <c r="Z212" s="88" t="str">
        <f>IF(LISTADO_NOM!K212="","",DATE(LISTADO_NOM!M212,LISTADO_NOM!L212,LISTADO_NOM!K212))</f>
        <v/>
      </c>
      <c r="AA212" s="88" t="str">
        <f>IFERROR(INDEX($Z$14:$Z$300, MATCH(0, INDEX(COUNTIF($AA$13:AA211, $Z$14:$Z$300), 0, 0), 0)), "")</f>
        <v/>
      </c>
      <c r="AB212" s="88" t="str">
        <f t="shared" si="3"/>
        <v/>
      </c>
      <c r="AC212">
        <v>199</v>
      </c>
      <c r="AE212" t="str">
        <f>IF(LISTADO_NOM!AK212="","",VLOOKUP(LISTADO_NOM!AK212,SEGUIMIENTOS,2,FALSE))</f>
        <v/>
      </c>
    </row>
    <row r="213" spans="26:31" x14ac:dyDescent="0.25">
      <c r="Z213" s="88" t="str">
        <f>IF(LISTADO_NOM!K213="","",DATE(LISTADO_NOM!M213,LISTADO_NOM!L213,LISTADO_NOM!K213))</f>
        <v/>
      </c>
      <c r="AA213" s="88" t="str">
        <f>IFERROR(INDEX($Z$14:$Z$300, MATCH(0, INDEX(COUNTIF($AA$13:AA212, $Z$14:$Z$300), 0, 0), 0)), "")</f>
        <v/>
      </c>
      <c r="AB213" s="88" t="str">
        <f t="shared" si="3"/>
        <v/>
      </c>
      <c r="AC213">
        <v>200</v>
      </c>
      <c r="AE213" t="str">
        <f>IF(LISTADO_NOM!AK213="","",VLOOKUP(LISTADO_NOM!AK213,SEGUIMIENTOS,2,FALSE))</f>
        <v/>
      </c>
    </row>
    <row r="214" spans="26:31" x14ac:dyDescent="0.25">
      <c r="Z214" s="88" t="str">
        <f>IF(LISTADO_NOM!K214="","",DATE(LISTADO_NOM!M214,LISTADO_NOM!L214,LISTADO_NOM!K214))</f>
        <v/>
      </c>
      <c r="AA214" s="88" t="str">
        <f>IFERROR(INDEX($Z$14:$Z$300, MATCH(0, INDEX(COUNTIF($AA$13:AA213, $Z$14:$Z$300), 0, 0), 0)), "")</f>
        <v/>
      </c>
      <c r="AB214" s="88" t="str">
        <f t="shared" si="3"/>
        <v/>
      </c>
      <c r="AC214">
        <v>201</v>
      </c>
      <c r="AE214" t="str">
        <f>IF(LISTADO_NOM!AK214="","",VLOOKUP(LISTADO_NOM!AK214,SEGUIMIENTOS,2,FALSE))</f>
        <v/>
      </c>
    </row>
    <row r="215" spans="26:31" x14ac:dyDescent="0.25">
      <c r="Z215" s="88" t="str">
        <f>IF(LISTADO_NOM!K215="","",DATE(LISTADO_NOM!M215,LISTADO_NOM!L215,LISTADO_NOM!K215))</f>
        <v/>
      </c>
      <c r="AA215" s="88" t="str">
        <f>IFERROR(INDEX($Z$14:$Z$300, MATCH(0, INDEX(COUNTIF($AA$13:AA214, $Z$14:$Z$300), 0, 0), 0)), "")</f>
        <v/>
      </c>
      <c r="AB215" s="88" t="str">
        <f t="shared" si="3"/>
        <v/>
      </c>
      <c r="AC215">
        <v>202</v>
      </c>
      <c r="AE215" t="str">
        <f>IF(LISTADO_NOM!AK215="","",VLOOKUP(LISTADO_NOM!AK215,SEGUIMIENTOS,2,FALSE))</f>
        <v/>
      </c>
    </row>
    <row r="216" spans="26:31" x14ac:dyDescent="0.25">
      <c r="Z216" s="88" t="str">
        <f>IF(LISTADO_NOM!K216="","",DATE(LISTADO_NOM!M216,LISTADO_NOM!L216,LISTADO_NOM!K216))</f>
        <v/>
      </c>
      <c r="AA216" s="88" t="str">
        <f>IFERROR(INDEX($Z$14:$Z$300, MATCH(0, INDEX(COUNTIF($AA$13:AA215, $Z$14:$Z$300), 0, 0), 0)), "")</f>
        <v/>
      </c>
      <c r="AB216" s="88" t="str">
        <f t="shared" si="3"/>
        <v/>
      </c>
      <c r="AC216">
        <v>203</v>
      </c>
      <c r="AE216" t="str">
        <f>IF(LISTADO_NOM!AK216="","",VLOOKUP(LISTADO_NOM!AK216,SEGUIMIENTOS,2,FALSE))</f>
        <v/>
      </c>
    </row>
    <row r="217" spans="26:31" x14ac:dyDescent="0.25">
      <c r="Z217" s="88" t="str">
        <f>IF(LISTADO_NOM!K217="","",DATE(LISTADO_NOM!M217,LISTADO_NOM!L217,LISTADO_NOM!K217))</f>
        <v/>
      </c>
      <c r="AA217" s="88" t="str">
        <f>IFERROR(INDEX($Z$14:$Z$300, MATCH(0, INDEX(COUNTIF($AA$13:AA216, $Z$14:$Z$300), 0, 0), 0)), "")</f>
        <v/>
      </c>
      <c r="AB217" s="88" t="str">
        <f t="shared" si="3"/>
        <v/>
      </c>
      <c r="AC217">
        <v>204</v>
      </c>
      <c r="AE217" t="str">
        <f>IF(LISTADO_NOM!AK217="","",VLOOKUP(LISTADO_NOM!AK217,SEGUIMIENTOS,2,FALSE))</f>
        <v/>
      </c>
    </row>
    <row r="218" spans="26:31" x14ac:dyDescent="0.25">
      <c r="Z218" s="88" t="str">
        <f>IF(LISTADO_NOM!K218="","",DATE(LISTADO_NOM!M218,LISTADO_NOM!L218,LISTADO_NOM!K218))</f>
        <v/>
      </c>
      <c r="AA218" s="88" t="str">
        <f>IFERROR(INDEX($Z$14:$Z$300, MATCH(0, INDEX(COUNTIF($AA$13:AA217, $Z$14:$Z$300), 0, 0), 0)), "")</f>
        <v/>
      </c>
      <c r="AB218" s="88" t="str">
        <f t="shared" si="3"/>
        <v/>
      </c>
      <c r="AC218">
        <v>205</v>
      </c>
      <c r="AE218" t="str">
        <f>IF(LISTADO_NOM!AK218="","",VLOOKUP(LISTADO_NOM!AK218,SEGUIMIENTOS,2,FALSE))</f>
        <v/>
      </c>
    </row>
    <row r="219" spans="26:31" x14ac:dyDescent="0.25">
      <c r="Z219" s="88" t="str">
        <f>IF(LISTADO_NOM!K219="","",DATE(LISTADO_NOM!M219,LISTADO_NOM!L219,LISTADO_NOM!K219))</f>
        <v/>
      </c>
      <c r="AA219" s="88" t="str">
        <f>IFERROR(INDEX($Z$14:$Z$300, MATCH(0, INDEX(COUNTIF($AA$13:AA218, $Z$14:$Z$300), 0, 0), 0)), "")</f>
        <v/>
      </c>
      <c r="AB219" s="88" t="str">
        <f t="shared" si="3"/>
        <v/>
      </c>
      <c r="AC219">
        <v>206</v>
      </c>
      <c r="AE219" t="str">
        <f>IF(LISTADO_NOM!AK219="","",VLOOKUP(LISTADO_NOM!AK219,SEGUIMIENTOS,2,FALSE))</f>
        <v/>
      </c>
    </row>
    <row r="220" spans="26:31" x14ac:dyDescent="0.25">
      <c r="Z220" s="88" t="str">
        <f>IF(LISTADO_NOM!K220="","",DATE(LISTADO_NOM!M220,LISTADO_NOM!L220,LISTADO_NOM!K220))</f>
        <v/>
      </c>
      <c r="AA220" s="88" t="str">
        <f>IFERROR(INDEX($Z$14:$Z$300, MATCH(0, INDEX(COUNTIF($AA$13:AA219, $Z$14:$Z$300), 0, 0), 0)), "")</f>
        <v/>
      </c>
      <c r="AB220" s="88" t="str">
        <f t="shared" si="3"/>
        <v/>
      </c>
      <c r="AC220">
        <v>207</v>
      </c>
      <c r="AE220" t="str">
        <f>IF(LISTADO_NOM!AK220="","",VLOOKUP(LISTADO_NOM!AK220,SEGUIMIENTOS,2,FALSE))</f>
        <v/>
      </c>
    </row>
    <row r="221" spans="26:31" x14ac:dyDescent="0.25">
      <c r="Z221" s="88" t="str">
        <f>IF(LISTADO_NOM!K221="","",DATE(LISTADO_NOM!M221,LISTADO_NOM!L221,LISTADO_NOM!K221))</f>
        <v/>
      </c>
      <c r="AA221" s="88" t="str">
        <f>IFERROR(INDEX($Z$14:$Z$300, MATCH(0, INDEX(COUNTIF($AA$13:AA220, $Z$14:$Z$300), 0, 0), 0)), "")</f>
        <v/>
      </c>
      <c r="AB221" s="88" t="str">
        <f t="shared" si="3"/>
        <v/>
      </c>
      <c r="AC221">
        <v>208</v>
      </c>
      <c r="AE221" t="str">
        <f>IF(LISTADO_NOM!AK221="","",VLOOKUP(LISTADO_NOM!AK221,SEGUIMIENTOS,2,FALSE))</f>
        <v/>
      </c>
    </row>
    <row r="222" spans="26:31" x14ac:dyDescent="0.25">
      <c r="Z222" s="88" t="str">
        <f>IF(LISTADO_NOM!K222="","",DATE(LISTADO_NOM!M222,LISTADO_NOM!L222,LISTADO_NOM!K222))</f>
        <v/>
      </c>
      <c r="AA222" s="88" t="str">
        <f>IFERROR(INDEX($Z$14:$Z$300, MATCH(0, INDEX(COUNTIF($AA$13:AA221, $Z$14:$Z$300), 0, 0), 0)), "")</f>
        <v/>
      </c>
      <c r="AB222" s="88" t="str">
        <f t="shared" si="3"/>
        <v/>
      </c>
      <c r="AC222">
        <v>209</v>
      </c>
      <c r="AE222" t="str">
        <f>IF(LISTADO_NOM!AK222="","",VLOOKUP(LISTADO_NOM!AK222,SEGUIMIENTOS,2,FALSE))</f>
        <v/>
      </c>
    </row>
    <row r="223" spans="26:31" x14ac:dyDescent="0.25">
      <c r="Z223" s="88" t="str">
        <f>IF(LISTADO_NOM!K223="","",DATE(LISTADO_NOM!M223,LISTADO_NOM!L223,LISTADO_NOM!K223))</f>
        <v/>
      </c>
      <c r="AA223" s="88" t="str">
        <f>IFERROR(INDEX($Z$14:$Z$300, MATCH(0, INDEX(COUNTIF($AA$13:AA222, $Z$14:$Z$300), 0, 0), 0)), "")</f>
        <v/>
      </c>
      <c r="AB223" s="88" t="str">
        <f t="shared" si="3"/>
        <v/>
      </c>
      <c r="AC223">
        <v>210</v>
      </c>
      <c r="AE223" t="str">
        <f>IF(LISTADO_NOM!AK223="","",VLOOKUP(LISTADO_NOM!AK223,SEGUIMIENTOS,2,FALSE))</f>
        <v/>
      </c>
    </row>
    <row r="224" spans="26:31" x14ac:dyDescent="0.25">
      <c r="Z224" s="88" t="str">
        <f>IF(LISTADO_NOM!K224="","",DATE(LISTADO_NOM!M224,LISTADO_NOM!L224,LISTADO_NOM!K224))</f>
        <v/>
      </c>
      <c r="AA224" s="88" t="str">
        <f>IFERROR(INDEX($Z$14:$Z$300, MATCH(0, INDEX(COUNTIF($AA$13:AA223, $Z$14:$Z$300), 0, 0), 0)), "")</f>
        <v/>
      </c>
      <c r="AB224" s="88" t="str">
        <f t="shared" si="3"/>
        <v/>
      </c>
      <c r="AC224">
        <v>211</v>
      </c>
      <c r="AE224" t="str">
        <f>IF(LISTADO_NOM!AK224="","",VLOOKUP(LISTADO_NOM!AK224,SEGUIMIENTOS,2,FALSE))</f>
        <v/>
      </c>
    </row>
    <row r="225" spans="26:31" x14ac:dyDescent="0.25">
      <c r="Z225" s="88" t="str">
        <f>IF(LISTADO_NOM!K225="","",DATE(LISTADO_NOM!M225,LISTADO_NOM!L225,LISTADO_NOM!K225))</f>
        <v/>
      </c>
      <c r="AA225" s="88" t="str">
        <f>IFERROR(INDEX($Z$14:$Z$300, MATCH(0, INDEX(COUNTIF($AA$13:AA224, $Z$14:$Z$300), 0, 0), 0)), "")</f>
        <v/>
      </c>
      <c r="AB225" s="88" t="str">
        <f t="shared" si="3"/>
        <v/>
      </c>
      <c r="AC225">
        <v>212</v>
      </c>
      <c r="AE225" t="str">
        <f>IF(LISTADO_NOM!AK225="","",VLOOKUP(LISTADO_NOM!AK225,SEGUIMIENTOS,2,FALSE))</f>
        <v/>
      </c>
    </row>
    <row r="226" spans="26:31" x14ac:dyDescent="0.25">
      <c r="Z226" s="88" t="str">
        <f>IF(LISTADO_NOM!K226="","",DATE(LISTADO_NOM!M226,LISTADO_NOM!L226,LISTADO_NOM!K226))</f>
        <v/>
      </c>
      <c r="AA226" s="88" t="str">
        <f>IFERROR(INDEX($Z$14:$Z$300, MATCH(0, INDEX(COUNTIF($AA$13:AA225, $Z$14:$Z$300), 0, 0), 0)), "")</f>
        <v/>
      </c>
      <c r="AB226" s="88" t="str">
        <f t="shared" si="3"/>
        <v/>
      </c>
      <c r="AC226">
        <v>213</v>
      </c>
      <c r="AE226" t="str">
        <f>IF(LISTADO_NOM!AK226="","",VLOOKUP(LISTADO_NOM!AK226,SEGUIMIENTOS,2,FALSE))</f>
        <v/>
      </c>
    </row>
    <row r="227" spans="26:31" x14ac:dyDescent="0.25">
      <c r="Z227" s="88" t="str">
        <f>IF(LISTADO_NOM!K227="","",DATE(LISTADO_NOM!M227,LISTADO_NOM!L227,LISTADO_NOM!K227))</f>
        <v/>
      </c>
      <c r="AA227" s="88" t="str">
        <f>IFERROR(INDEX($Z$14:$Z$300, MATCH(0, INDEX(COUNTIF($AA$13:AA226, $Z$14:$Z$300), 0, 0), 0)), "")</f>
        <v/>
      </c>
      <c r="AB227" s="88" t="str">
        <f t="shared" si="3"/>
        <v/>
      </c>
      <c r="AC227">
        <v>214</v>
      </c>
      <c r="AE227" t="str">
        <f>IF(LISTADO_NOM!AK227="","",VLOOKUP(LISTADO_NOM!AK227,SEGUIMIENTOS,2,FALSE))</f>
        <v/>
      </c>
    </row>
    <row r="228" spans="26:31" x14ac:dyDescent="0.25">
      <c r="Z228" s="88" t="str">
        <f>IF(LISTADO_NOM!K228="","",DATE(LISTADO_NOM!M228,LISTADO_NOM!L228,LISTADO_NOM!K228))</f>
        <v/>
      </c>
      <c r="AA228" s="88" t="str">
        <f>IFERROR(INDEX($Z$14:$Z$300, MATCH(0, INDEX(COUNTIF($AA$13:AA227, $Z$14:$Z$300), 0, 0), 0)), "")</f>
        <v/>
      </c>
      <c r="AB228" s="88" t="str">
        <f t="shared" si="3"/>
        <v/>
      </c>
      <c r="AC228">
        <v>215</v>
      </c>
      <c r="AE228" t="str">
        <f>IF(LISTADO_NOM!AK228="","",VLOOKUP(LISTADO_NOM!AK228,SEGUIMIENTOS,2,FALSE))</f>
        <v/>
      </c>
    </row>
    <row r="229" spans="26:31" x14ac:dyDescent="0.25">
      <c r="Z229" s="88" t="str">
        <f>IF(LISTADO_NOM!K229="","",DATE(LISTADO_NOM!M229,LISTADO_NOM!L229,LISTADO_NOM!K229))</f>
        <v/>
      </c>
      <c r="AA229" s="88" t="str">
        <f>IFERROR(INDEX($Z$14:$Z$300, MATCH(0, INDEX(COUNTIF($AA$13:AA228, $Z$14:$Z$300), 0, 0), 0)), "")</f>
        <v/>
      </c>
      <c r="AB229" s="88" t="str">
        <f t="shared" si="3"/>
        <v/>
      </c>
      <c r="AC229">
        <v>216</v>
      </c>
      <c r="AE229" t="str">
        <f>IF(LISTADO_NOM!AK229="","",VLOOKUP(LISTADO_NOM!AK229,SEGUIMIENTOS,2,FALSE))</f>
        <v/>
      </c>
    </row>
    <row r="230" spans="26:31" x14ac:dyDescent="0.25">
      <c r="Z230" s="88" t="str">
        <f>IF(LISTADO_NOM!K230="","",DATE(LISTADO_NOM!M230,LISTADO_NOM!L230,LISTADO_NOM!K230))</f>
        <v/>
      </c>
      <c r="AA230" s="88" t="str">
        <f>IFERROR(INDEX($Z$14:$Z$300, MATCH(0, INDEX(COUNTIF($AA$13:AA229, $Z$14:$Z$300), 0, 0), 0)), "")</f>
        <v/>
      </c>
      <c r="AB230" s="88" t="str">
        <f t="shared" si="3"/>
        <v/>
      </c>
      <c r="AC230">
        <v>217</v>
      </c>
      <c r="AE230" t="str">
        <f>IF(LISTADO_NOM!AK230="","",VLOOKUP(LISTADO_NOM!AK230,SEGUIMIENTOS,2,FALSE))</f>
        <v/>
      </c>
    </row>
    <row r="231" spans="26:31" x14ac:dyDescent="0.25">
      <c r="Z231" s="88" t="str">
        <f>IF(LISTADO_NOM!K231="","",DATE(LISTADO_NOM!M231,LISTADO_NOM!L231,LISTADO_NOM!K231))</f>
        <v/>
      </c>
      <c r="AA231" s="88" t="str">
        <f>IFERROR(INDEX($Z$14:$Z$300, MATCH(0, INDEX(COUNTIF($AA$13:AA230, $Z$14:$Z$300), 0, 0), 0)), "")</f>
        <v/>
      </c>
      <c r="AB231" s="88" t="str">
        <f t="shared" si="3"/>
        <v/>
      </c>
      <c r="AC231">
        <v>218</v>
      </c>
      <c r="AE231" t="str">
        <f>IF(LISTADO_NOM!AK231="","",VLOOKUP(LISTADO_NOM!AK231,SEGUIMIENTOS,2,FALSE))</f>
        <v/>
      </c>
    </row>
    <row r="232" spans="26:31" x14ac:dyDescent="0.25">
      <c r="Z232" s="88" t="str">
        <f>IF(LISTADO_NOM!K232="","",DATE(LISTADO_NOM!M232,LISTADO_NOM!L232,LISTADO_NOM!K232))</f>
        <v/>
      </c>
      <c r="AA232" s="88" t="str">
        <f>IFERROR(INDEX($Z$14:$Z$300, MATCH(0, INDEX(COUNTIF($AA$13:AA231, $Z$14:$Z$300), 0, 0), 0)), "")</f>
        <v/>
      </c>
      <c r="AB232" s="88" t="str">
        <f t="shared" si="3"/>
        <v/>
      </c>
      <c r="AC232">
        <v>219</v>
      </c>
      <c r="AE232" t="str">
        <f>IF(LISTADO_NOM!AK232="","",VLOOKUP(LISTADO_NOM!AK232,SEGUIMIENTOS,2,FALSE))</f>
        <v/>
      </c>
    </row>
    <row r="233" spans="26:31" x14ac:dyDescent="0.25">
      <c r="Z233" s="88" t="str">
        <f>IF(LISTADO_NOM!K233="","",DATE(LISTADO_NOM!M233,LISTADO_NOM!L233,LISTADO_NOM!K233))</f>
        <v/>
      </c>
      <c r="AA233" s="88" t="str">
        <f>IFERROR(INDEX($Z$14:$Z$300, MATCH(0, INDEX(COUNTIF($AA$13:AA232, $Z$14:$Z$300), 0, 0), 0)), "")</f>
        <v/>
      </c>
      <c r="AB233" s="88" t="str">
        <f t="shared" si="3"/>
        <v/>
      </c>
      <c r="AC233">
        <v>220</v>
      </c>
      <c r="AE233" t="str">
        <f>IF(LISTADO_NOM!AK233="","",VLOOKUP(LISTADO_NOM!AK233,SEGUIMIENTOS,2,FALSE))</f>
        <v/>
      </c>
    </row>
    <row r="234" spans="26:31" x14ac:dyDescent="0.25">
      <c r="Z234" s="88" t="str">
        <f>IF(LISTADO_NOM!K234="","",DATE(LISTADO_NOM!M234,LISTADO_NOM!L234,LISTADO_NOM!K234))</f>
        <v/>
      </c>
      <c r="AA234" s="88" t="str">
        <f>IFERROR(INDEX($Z$14:$Z$300, MATCH(0, INDEX(COUNTIF($AA$13:AA233, $Z$14:$Z$300), 0, 0), 0)), "")</f>
        <v/>
      </c>
      <c r="AB234" s="88" t="str">
        <f t="shared" si="3"/>
        <v/>
      </c>
      <c r="AC234">
        <v>221</v>
      </c>
      <c r="AE234" t="str">
        <f>IF(LISTADO_NOM!AK234="","",VLOOKUP(LISTADO_NOM!AK234,SEGUIMIENTOS,2,FALSE))</f>
        <v/>
      </c>
    </row>
    <row r="235" spans="26:31" x14ac:dyDescent="0.25">
      <c r="Z235" s="88" t="str">
        <f>IF(LISTADO_NOM!K235="","",DATE(LISTADO_NOM!M235,LISTADO_NOM!L235,LISTADO_NOM!K235))</f>
        <v/>
      </c>
      <c r="AA235" s="88" t="str">
        <f>IFERROR(INDEX($Z$14:$Z$300, MATCH(0, INDEX(COUNTIF($AA$13:AA234, $Z$14:$Z$300), 0, 0), 0)), "")</f>
        <v/>
      </c>
      <c r="AB235" s="88" t="str">
        <f t="shared" si="3"/>
        <v/>
      </c>
      <c r="AC235">
        <v>222</v>
      </c>
      <c r="AE235" t="str">
        <f>IF(LISTADO_NOM!AK235="","",VLOOKUP(LISTADO_NOM!AK235,SEGUIMIENTOS,2,FALSE))</f>
        <v/>
      </c>
    </row>
    <row r="236" spans="26:31" x14ac:dyDescent="0.25">
      <c r="Z236" s="88" t="str">
        <f>IF(LISTADO_NOM!K236="","",DATE(LISTADO_NOM!M236,LISTADO_NOM!L236,LISTADO_NOM!K236))</f>
        <v/>
      </c>
      <c r="AA236" s="88" t="str">
        <f>IFERROR(INDEX($Z$14:$Z$300, MATCH(0, INDEX(COUNTIF($AA$13:AA235, $Z$14:$Z$300), 0, 0), 0)), "")</f>
        <v/>
      </c>
      <c r="AB236" s="88" t="str">
        <f t="shared" si="3"/>
        <v/>
      </c>
      <c r="AC236">
        <v>223</v>
      </c>
      <c r="AE236" t="str">
        <f>IF(LISTADO_NOM!AK236="","",VLOOKUP(LISTADO_NOM!AK236,SEGUIMIENTOS,2,FALSE))</f>
        <v/>
      </c>
    </row>
    <row r="237" spans="26:31" x14ac:dyDescent="0.25">
      <c r="Z237" s="88" t="str">
        <f>IF(LISTADO_NOM!K237="","",DATE(LISTADO_NOM!M237,LISTADO_NOM!L237,LISTADO_NOM!K237))</f>
        <v/>
      </c>
      <c r="AA237" s="88" t="str">
        <f>IFERROR(INDEX($Z$14:$Z$300, MATCH(0, INDEX(COUNTIF($AA$13:AA236, $Z$14:$Z$300), 0, 0), 0)), "")</f>
        <v/>
      </c>
      <c r="AB237" s="88" t="str">
        <f t="shared" si="3"/>
        <v/>
      </c>
      <c r="AC237">
        <v>224</v>
      </c>
      <c r="AE237" t="str">
        <f>IF(LISTADO_NOM!AK237="","",VLOOKUP(LISTADO_NOM!AK237,SEGUIMIENTOS,2,FALSE))</f>
        <v/>
      </c>
    </row>
    <row r="238" spans="26:31" x14ac:dyDescent="0.25">
      <c r="Z238" s="88" t="str">
        <f>IF(LISTADO_NOM!K238="","",DATE(LISTADO_NOM!M238,LISTADO_NOM!L238,LISTADO_NOM!K238))</f>
        <v/>
      </c>
      <c r="AA238" s="88" t="str">
        <f>IFERROR(INDEX($Z$14:$Z$300, MATCH(0, INDEX(COUNTIF($AA$13:AA237, $Z$14:$Z$300), 0, 0), 0)), "")</f>
        <v/>
      </c>
      <c r="AB238" s="88" t="str">
        <f t="shared" si="3"/>
        <v/>
      </c>
      <c r="AC238">
        <v>225</v>
      </c>
      <c r="AE238" t="str">
        <f>IF(LISTADO_NOM!AK238="","",VLOOKUP(LISTADO_NOM!AK238,SEGUIMIENTOS,2,FALSE))</f>
        <v/>
      </c>
    </row>
    <row r="239" spans="26:31" x14ac:dyDescent="0.25">
      <c r="Z239" s="88" t="str">
        <f>IF(LISTADO_NOM!K239="","",DATE(LISTADO_NOM!M239,LISTADO_NOM!L239,LISTADO_NOM!K239))</f>
        <v/>
      </c>
      <c r="AA239" s="88" t="str">
        <f>IFERROR(INDEX($Z$14:$Z$300, MATCH(0, INDEX(COUNTIF($AA$13:AA238, $Z$14:$Z$300), 0, 0), 0)), "")</f>
        <v/>
      </c>
      <c r="AB239" s="88" t="str">
        <f t="shared" si="3"/>
        <v/>
      </c>
      <c r="AC239">
        <v>226</v>
      </c>
      <c r="AE239" t="str">
        <f>IF(LISTADO_NOM!AK239="","",VLOOKUP(LISTADO_NOM!AK239,SEGUIMIENTOS,2,FALSE))</f>
        <v/>
      </c>
    </row>
    <row r="240" spans="26:31" x14ac:dyDescent="0.25">
      <c r="Z240" s="88" t="str">
        <f>IF(LISTADO_NOM!K240="","",DATE(LISTADO_NOM!M240,LISTADO_NOM!L240,LISTADO_NOM!K240))</f>
        <v/>
      </c>
      <c r="AA240" s="88" t="str">
        <f>IFERROR(INDEX($Z$14:$Z$300, MATCH(0, INDEX(COUNTIF($AA$13:AA239, $Z$14:$Z$300), 0, 0), 0)), "")</f>
        <v/>
      </c>
      <c r="AB240" s="88" t="str">
        <f t="shared" si="3"/>
        <v/>
      </c>
      <c r="AC240">
        <v>227</v>
      </c>
      <c r="AE240" t="str">
        <f>IF(LISTADO_NOM!AK240="","",VLOOKUP(LISTADO_NOM!AK240,SEGUIMIENTOS,2,FALSE))</f>
        <v/>
      </c>
    </row>
    <row r="241" spans="26:31" x14ac:dyDescent="0.25">
      <c r="Z241" s="88" t="str">
        <f>IF(LISTADO_NOM!K241="","",DATE(LISTADO_NOM!M241,LISTADO_NOM!L241,LISTADO_NOM!K241))</f>
        <v/>
      </c>
      <c r="AA241" s="88" t="str">
        <f>IFERROR(INDEX($Z$14:$Z$300, MATCH(0, INDEX(COUNTIF($AA$13:AA240, $Z$14:$Z$300), 0, 0), 0)), "")</f>
        <v/>
      </c>
      <c r="AB241" s="88" t="str">
        <f t="shared" si="3"/>
        <v/>
      </c>
      <c r="AC241">
        <v>228</v>
      </c>
      <c r="AE241" t="str">
        <f>IF(LISTADO_NOM!AK241="","",VLOOKUP(LISTADO_NOM!AK241,SEGUIMIENTOS,2,FALSE))</f>
        <v/>
      </c>
    </row>
    <row r="242" spans="26:31" x14ac:dyDescent="0.25">
      <c r="Z242" s="88" t="str">
        <f>IF(LISTADO_NOM!K242="","",DATE(LISTADO_NOM!M242,LISTADO_NOM!L242,LISTADO_NOM!K242))</f>
        <v/>
      </c>
      <c r="AA242" s="88" t="str">
        <f>IFERROR(INDEX($Z$14:$Z$300, MATCH(0, INDEX(COUNTIF($AA$13:AA241, $Z$14:$Z$300), 0, 0), 0)), "")</f>
        <v/>
      </c>
      <c r="AB242" s="88" t="str">
        <f t="shared" si="3"/>
        <v/>
      </c>
      <c r="AC242">
        <v>229</v>
      </c>
      <c r="AE242" t="str">
        <f>IF(LISTADO_NOM!AK242="","",VLOOKUP(LISTADO_NOM!AK242,SEGUIMIENTOS,2,FALSE))</f>
        <v/>
      </c>
    </row>
    <row r="243" spans="26:31" x14ac:dyDescent="0.25">
      <c r="Z243" s="88" t="str">
        <f>IF(LISTADO_NOM!K243="","",DATE(LISTADO_NOM!M243,LISTADO_NOM!L243,LISTADO_NOM!K243))</f>
        <v/>
      </c>
      <c r="AA243" s="88" t="str">
        <f>IFERROR(INDEX($Z$14:$Z$300, MATCH(0, INDEX(COUNTIF($AA$13:AA242, $Z$14:$Z$300), 0, 0), 0)), "")</f>
        <v/>
      </c>
      <c r="AB243" s="88" t="str">
        <f t="shared" si="3"/>
        <v/>
      </c>
      <c r="AC243">
        <v>230</v>
      </c>
      <c r="AE243" t="str">
        <f>IF(LISTADO_NOM!AK243="","",VLOOKUP(LISTADO_NOM!AK243,SEGUIMIENTOS,2,FALSE))</f>
        <v/>
      </c>
    </row>
    <row r="244" spans="26:31" x14ac:dyDescent="0.25">
      <c r="Z244" s="88" t="str">
        <f>IF(LISTADO_NOM!K244="","",DATE(LISTADO_NOM!M244,LISTADO_NOM!L244,LISTADO_NOM!K244))</f>
        <v/>
      </c>
      <c r="AA244" s="88" t="str">
        <f>IFERROR(INDEX($Z$14:$Z$300, MATCH(0, INDEX(COUNTIF($AA$13:AA243, $Z$14:$Z$300), 0, 0), 0)), "")</f>
        <v/>
      </c>
      <c r="AB244" s="88" t="str">
        <f t="shared" si="3"/>
        <v/>
      </c>
      <c r="AC244">
        <v>231</v>
      </c>
      <c r="AE244" t="str">
        <f>IF(LISTADO_NOM!AK244="","",VLOOKUP(LISTADO_NOM!AK244,SEGUIMIENTOS,2,FALSE))</f>
        <v/>
      </c>
    </row>
    <row r="245" spans="26:31" x14ac:dyDescent="0.25">
      <c r="Z245" s="88" t="str">
        <f>IF(LISTADO_NOM!K245="","",DATE(LISTADO_NOM!M245,LISTADO_NOM!L245,LISTADO_NOM!K245))</f>
        <v/>
      </c>
      <c r="AA245" s="88" t="str">
        <f>IFERROR(INDEX($Z$14:$Z$300, MATCH(0, INDEX(COUNTIF($AA$13:AA244, $Z$14:$Z$300), 0, 0), 0)), "")</f>
        <v/>
      </c>
      <c r="AB245" s="88" t="str">
        <f t="shared" si="3"/>
        <v/>
      </c>
      <c r="AC245">
        <v>232</v>
      </c>
      <c r="AE245" t="str">
        <f>IF(LISTADO_NOM!AK245="","",VLOOKUP(LISTADO_NOM!AK245,SEGUIMIENTOS,2,FALSE))</f>
        <v/>
      </c>
    </row>
    <row r="246" spans="26:31" x14ac:dyDescent="0.25">
      <c r="Z246" s="88" t="str">
        <f>IF(LISTADO_NOM!K246="","",DATE(LISTADO_NOM!M246,LISTADO_NOM!L246,LISTADO_NOM!K246))</f>
        <v/>
      </c>
      <c r="AA246" s="88" t="str">
        <f>IFERROR(INDEX($Z$14:$Z$300, MATCH(0, INDEX(COUNTIF($AA$13:AA245, $Z$14:$Z$300), 0, 0), 0)), "")</f>
        <v/>
      </c>
      <c r="AB246" s="88" t="str">
        <f t="shared" si="3"/>
        <v/>
      </c>
      <c r="AC246">
        <v>233</v>
      </c>
      <c r="AE246" t="str">
        <f>IF(LISTADO_NOM!AK246="","",VLOOKUP(LISTADO_NOM!AK246,SEGUIMIENTOS,2,FALSE))</f>
        <v/>
      </c>
    </row>
    <row r="247" spans="26:31" x14ac:dyDescent="0.25">
      <c r="Z247" s="88" t="str">
        <f>IF(LISTADO_NOM!K247="","",DATE(LISTADO_NOM!M247,LISTADO_NOM!L247,LISTADO_NOM!K247))</f>
        <v/>
      </c>
      <c r="AA247" s="88" t="str">
        <f>IFERROR(INDEX($Z$14:$Z$300, MATCH(0, INDEX(COUNTIF($AA$13:AA246, $Z$14:$Z$300), 0, 0), 0)), "")</f>
        <v/>
      </c>
      <c r="AB247" s="88" t="str">
        <f t="shared" si="3"/>
        <v/>
      </c>
      <c r="AC247">
        <v>234</v>
      </c>
      <c r="AE247" t="str">
        <f>IF(LISTADO_NOM!AK247="","",VLOOKUP(LISTADO_NOM!AK247,SEGUIMIENTOS,2,FALSE))</f>
        <v/>
      </c>
    </row>
    <row r="248" spans="26:31" x14ac:dyDescent="0.25">
      <c r="Z248" s="88" t="str">
        <f>IF(LISTADO_NOM!K248="","",DATE(LISTADO_NOM!M248,LISTADO_NOM!L248,LISTADO_NOM!K248))</f>
        <v/>
      </c>
      <c r="AA248" s="88" t="str">
        <f>IFERROR(INDEX($Z$14:$Z$300, MATCH(0, INDEX(COUNTIF($AA$13:AA247, $Z$14:$Z$300), 0, 0), 0)), "")</f>
        <v/>
      </c>
      <c r="AB248" s="88" t="str">
        <f t="shared" si="3"/>
        <v/>
      </c>
      <c r="AC248">
        <v>235</v>
      </c>
      <c r="AE248" t="str">
        <f>IF(LISTADO_NOM!AK248="","",VLOOKUP(LISTADO_NOM!AK248,SEGUIMIENTOS,2,FALSE))</f>
        <v/>
      </c>
    </row>
    <row r="249" spans="26:31" x14ac:dyDescent="0.25">
      <c r="Z249" s="88" t="str">
        <f>IF(LISTADO_NOM!K249="","",DATE(LISTADO_NOM!M249,LISTADO_NOM!L249,LISTADO_NOM!K249))</f>
        <v/>
      </c>
      <c r="AA249" s="88" t="str">
        <f>IFERROR(INDEX($Z$14:$Z$300, MATCH(0, INDEX(COUNTIF($AA$13:AA248, $Z$14:$Z$300), 0, 0), 0)), "")</f>
        <v/>
      </c>
      <c r="AB249" s="88" t="str">
        <f t="shared" si="3"/>
        <v/>
      </c>
      <c r="AC249">
        <v>236</v>
      </c>
      <c r="AE249" t="str">
        <f>IF(LISTADO_NOM!AK249="","",VLOOKUP(LISTADO_NOM!AK249,SEGUIMIENTOS,2,FALSE))</f>
        <v/>
      </c>
    </row>
    <row r="250" spans="26:31" x14ac:dyDescent="0.25">
      <c r="Z250" s="88" t="str">
        <f>IF(LISTADO_NOM!K250="","",DATE(LISTADO_NOM!M250,LISTADO_NOM!L250,LISTADO_NOM!K250))</f>
        <v/>
      </c>
      <c r="AA250" s="88" t="str">
        <f>IFERROR(INDEX($Z$14:$Z$300, MATCH(0, INDEX(COUNTIF($AA$13:AA249, $Z$14:$Z$300), 0, 0), 0)), "")</f>
        <v/>
      </c>
      <c r="AB250" s="88" t="str">
        <f t="shared" si="3"/>
        <v/>
      </c>
      <c r="AC250">
        <v>237</v>
      </c>
      <c r="AE250" t="str">
        <f>IF(LISTADO_NOM!AK250="","",VLOOKUP(LISTADO_NOM!AK250,SEGUIMIENTOS,2,FALSE))</f>
        <v/>
      </c>
    </row>
    <row r="251" spans="26:31" x14ac:dyDescent="0.25">
      <c r="Z251" s="88" t="str">
        <f>IF(LISTADO_NOM!K251="","",DATE(LISTADO_NOM!M251,LISTADO_NOM!L251,LISTADO_NOM!K251))</f>
        <v/>
      </c>
      <c r="AA251" s="88" t="str">
        <f>IFERROR(INDEX($Z$14:$Z$300, MATCH(0, INDEX(COUNTIF($AA$13:AA250, $Z$14:$Z$300), 0, 0), 0)), "")</f>
        <v/>
      </c>
      <c r="AB251" s="88" t="str">
        <f t="shared" si="3"/>
        <v/>
      </c>
      <c r="AC251">
        <v>238</v>
      </c>
      <c r="AE251" t="str">
        <f>IF(LISTADO_NOM!AK251="","",VLOOKUP(LISTADO_NOM!AK251,SEGUIMIENTOS,2,FALSE))</f>
        <v/>
      </c>
    </row>
    <row r="252" spans="26:31" x14ac:dyDescent="0.25">
      <c r="Z252" s="88" t="str">
        <f>IF(LISTADO_NOM!K252="","",DATE(LISTADO_NOM!M252,LISTADO_NOM!L252,LISTADO_NOM!K252))</f>
        <v/>
      </c>
      <c r="AA252" s="88" t="str">
        <f>IFERROR(INDEX($Z$14:$Z$300, MATCH(0, INDEX(COUNTIF($AA$13:AA251, $Z$14:$Z$300), 0, 0), 0)), "")</f>
        <v/>
      </c>
      <c r="AB252" s="88" t="str">
        <f t="shared" si="3"/>
        <v/>
      </c>
      <c r="AC252">
        <v>239</v>
      </c>
      <c r="AE252" t="str">
        <f>IF(LISTADO_NOM!AK252="","",VLOOKUP(LISTADO_NOM!AK252,SEGUIMIENTOS,2,FALSE))</f>
        <v/>
      </c>
    </row>
    <row r="253" spans="26:31" x14ac:dyDescent="0.25">
      <c r="Z253" s="88" t="str">
        <f>IF(LISTADO_NOM!K253="","",DATE(LISTADO_NOM!M253,LISTADO_NOM!L253,LISTADO_NOM!K253))</f>
        <v/>
      </c>
      <c r="AA253" s="88" t="str">
        <f>IFERROR(INDEX($Z$14:$Z$300, MATCH(0, INDEX(COUNTIF($AA$13:AA252, $Z$14:$Z$300), 0, 0), 0)), "")</f>
        <v/>
      </c>
      <c r="AB253" s="88" t="str">
        <f t="shared" si="3"/>
        <v/>
      </c>
      <c r="AC253">
        <v>240</v>
      </c>
      <c r="AE253" t="str">
        <f>IF(LISTADO_NOM!AK253="","",VLOOKUP(LISTADO_NOM!AK253,SEGUIMIENTOS,2,FALSE))</f>
        <v/>
      </c>
    </row>
    <row r="254" spans="26:31" x14ac:dyDescent="0.25">
      <c r="Z254" s="88" t="str">
        <f>IF(LISTADO_NOM!K254="","",DATE(LISTADO_NOM!M254,LISTADO_NOM!L254,LISTADO_NOM!K254))</f>
        <v/>
      </c>
      <c r="AA254" s="88" t="str">
        <f>IFERROR(INDEX($Z$14:$Z$300, MATCH(0, INDEX(COUNTIF($AA$13:AA253, $Z$14:$Z$300), 0, 0), 0)), "")</f>
        <v/>
      </c>
      <c r="AB254" s="88" t="str">
        <f t="shared" si="3"/>
        <v/>
      </c>
      <c r="AC254">
        <v>241</v>
      </c>
      <c r="AE254" t="str">
        <f>IF(LISTADO_NOM!AK254="","",VLOOKUP(LISTADO_NOM!AK254,SEGUIMIENTOS,2,FALSE))</f>
        <v/>
      </c>
    </row>
    <row r="255" spans="26:31" x14ac:dyDescent="0.25">
      <c r="Z255" s="88" t="str">
        <f>IF(LISTADO_NOM!K255="","",DATE(LISTADO_NOM!M255,LISTADO_NOM!L255,LISTADO_NOM!K255))</f>
        <v/>
      </c>
      <c r="AA255" s="88" t="str">
        <f>IFERROR(INDEX($Z$14:$Z$300, MATCH(0, INDEX(COUNTIF($AA$13:AA254, $Z$14:$Z$300), 0, 0), 0)), "")</f>
        <v/>
      </c>
      <c r="AB255" s="88" t="str">
        <f t="shared" si="3"/>
        <v/>
      </c>
      <c r="AC255">
        <v>242</v>
      </c>
      <c r="AE255" t="str">
        <f>IF(LISTADO_NOM!AK255="","",VLOOKUP(LISTADO_NOM!AK255,SEGUIMIENTOS,2,FALSE))</f>
        <v/>
      </c>
    </row>
    <row r="256" spans="26:31" x14ac:dyDescent="0.25">
      <c r="Z256" s="88" t="str">
        <f>IF(LISTADO_NOM!K256="","",DATE(LISTADO_NOM!M256,LISTADO_NOM!L256,LISTADO_NOM!K256))</f>
        <v/>
      </c>
      <c r="AA256" s="88" t="str">
        <f>IFERROR(INDEX($Z$14:$Z$300, MATCH(0, INDEX(COUNTIF($AA$13:AA255, $Z$14:$Z$300), 0, 0), 0)), "")</f>
        <v/>
      </c>
      <c r="AB256" s="88" t="str">
        <f t="shared" si="3"/>
        <v/>
      </c>
      <c r="AC256">
        <v>243</v>
      </c>
      <c r="AE256" t="str">
        <f>IF(LISTADO_NOM!AK256="","",VLOOKUP(LISTADO_NOM!AK256,SEGUIMIENTOS,2,FALSE))</f>
        <v/>
      </c>
    </row>
    <row r="257" spans="26:31" x14ac:dyDescent="0.25">
      <c r="Z257" s="88" t="str">
        <f>IF(LISTADO_NOM!K257="","",DATE(LISTADO_NOM!M257,LISTADO_NOM!L257,LISTADO_NOM!K257))</f>
        <v/>
      </c>
      <c r="AA257" s="88" t="str">
        <f>IFERROR(INDEX($Z$14:$Z$300, MATCH(0, INDEX(COUNTIF($AA$13:AA256, $Z$14:$Z$300), 0, 0), 0)), "")</f>
        <v/>
      </c>
      <c r="AB257" s="88" t="str">
        <f t="shared" si="3"/>
        <v/>
      </c>
      <c r="AC257">
        <v>244</v>
      </c>
      <c r="AE257" t="str">
        <f>IF(LISTADO_NOM!AK257="","",VLOOKUP(LISTADO_NOM!AK257,SEGUIMIENTOS,2,FALSE))</f>
        <v/>
      </c>
    </row>
    <row r="258" spans="26:31" x14ac:dyDescent="0.25">
      <c r="Z258" s="88" t="str">
        <f>IF(LISTADO_NOM!K258="","",DATE(LISTADO_NOM!M258,LISTADO_NOM!L258,LISTADO_NOM!K258))</f>
        <v/>
      </c>
      <c r="AA258" s="88" t="str">
        <f>IFERROR(INDEX($Z$14:$Z$300, MATCH(0, INDEX(COUNTIF($AA$13:AA257, $Z$14:$Z$300), 0, 0), 0)), "")</f>
        <v/>
      </c>
      <c r="AB258" s="88" t="str">
        <f t="shared" si="3"/>
        <v/>
      </c>
      <c r="AC258">
        <v>245</v>
      </c>
      <c r="AE258" t="str">
        <f>IF(LISTADO_NOM!AK258="","",VLOOKUP(LISTADO_NOM!AK258,SEGUIMIENTOS,2,FALSE))</f>
        <v/>
      </c>
    </row>
    <row r="259" spans="26:31" x14ac:dyDescent="0.25">
      <c r="Z259" s="88" t="str">
        <f>IF(LISTADO_NOM!K259="","",DATE(LISTADO_NOM!M259,LISTADO_NOM!L259,LISTADO_NOM!K259))</f>
        <v/>
      </c>
      <c r="AA259" s="88" t="str">
        <f>IFERROR(INDEX($Z$14:$Z$300, MATCH(0, INDEX(COUNTIF($AA$13:AA258, $Z$14:$Z$300), 0, 0), 0)), "")</f>
        <v/>
      </c>
      <c r="AB259" s="88" t="str">
        <f t="shared" si="3"/>
        <v/>
      </c>
      <c r="AC259">
        <v>246</v>
      </c>
      <c r="AE259" t="str">
        <f>IF(LISTADO_NOM!AK259="","",VLOOKUP(LISTADO_NOM!AK259,SEGUIMIENTOS,2,FALSE))</f>
        <v/>
      </c>
    </row>
    <row r="260" spans="26:31" x14ac:dyDescent="0.25">
      <c r="Z260" s="88" t="str">
        <f>IF(LISTADO_NOM!K260="","",DATE(LISTADO_NOM!M260,LISTADO_NOM!L260,LISTADO_NOM!K260))</f>
        <v/>
      </c>
      <c r="AA260" s="88" t="str">
        <f>IFERROR(INDEX($Z$14:$Z$300, MATCH(0, INDEX(COUNTIF($AA$13:AA259, $Z$14:$Z$300), 0, 0), 0)), "")</f>
        <v/>
      </c>
      <c r="AB260" s="88" t="str">
        <f t="shared" si="3"/>
        <v/>
      </c>
      <c r="AC260">
        <v>247</v>
      </c>
      <c r="AE260" t="str">
        <f>IF(LISTADO_NOM!AK260="","",VLOOKUP(LISTADO_NOM!AK260,SEGUIMIENTOS,2,FALSE))</f>
        <v/>
      </c>
    </row>
    <row r="261" spans="26:31" x14ac:dyDescent="0.25">
      <c r="Z261" s="88" t="str">
        <f>IF(LISTADO_NOM!K261="","",DATE(LISTADO_NOM!M261,LISTADO_NOM!L261,LISTADO_NOM!K261))</f>
        <v/>
      </c>
      <c r="AA261" s="88" t="str">
        <f>IFERROR(INDEX($Z$14:$Z$300, MATCH(0, INDEX(COUNTIF($AA$13:AA260, $Z$14:$Z$300), 0, 0), 0)), "")</f>
        <v/>
      </c>
      <c r="AB261" s="88" t="str">
        <f t="shared" si="3"/>
        <v/>
      </c>
      <c r="AC261">
        <v>248</v>
      </c>
      <c r="AE261" t="str">
        <f>IF(LISTADO_NOM!AK261="","",VLOOKUP(LISTADO_NOM!AK261,SEGUIMIENTOS,2,FALSE))</f>
        <v/>
      </c>
    </row>
    <row r="262" spans="26:31" x14ac:dyDescent="0.25">
      <c r="Z262" s="88" t="str">
        <f>IF(LISTADO_NOM!K262="","",DATE(LISTADO_NOM!M262,LISTADO_NOM!L262,LISTADO_NOM!K262))</f>
        <v/>
      </c>
      <c r="AA262" s="88" t="str">
        <f>IFERROR(INDEX($Z$14:$Z$300, MATCH(0, INDEX(COUNTIF($AA$13:AA261, $Z$14:$Z$300), 0, 0), 0)), "")</f>
        <v/>
      </c>
      <c r="AB262" s="88" t="str">
        <f t="shared" si="3"/>
        <v/>
      </c>
      <c r="AC262">
        <v>249</v>
      </c>
      <c r="AE262" t="str">
        <f>IF(LISTADO_NOM!AK262="","",VLOOKUP(LISTADO_NOM!AK262,SEGUIMIENTOS,2,FALSE))</f>
        <v/>
      </c>
    </row>
    <row r="263" spans="26:31" x14ac:dyDescent="0.25">
      <c r="Z263" s="88" t="str">
        <f>IF(LISTADO_NOM!K263="","",DATE(LISTADO_NOM!M263,LISTADO_NOM!L263,LISTADO_NOM!K263))</f>
        <v/>
      </c>
      <c r="AA263" s="88" t="str">
        <f>IFERROR(INDEX($Z$14:$Z$300, MATCH(0, INDEX(COUNTIF($AA$13:AA262, $Z$14:$Z$300), 0, 0), 0)), "")</f>
        <v/>
      </c>
      <c r="AB263" s="88" t="str">
        <f t="shared" si="3"/>
        <v/>
      </c>
      <c r="AC263">
        <v>250</v>
      </c>
      <c r="AE263" t="str">
        <f>IF(LISTADO_NOM!AK263="","",VLOOKUP(LISTADO_NOM!AK263,SEGUIMIENTOS,2,FALSE))</f>
        <v/>
      </c>
    </row>
    <row r="264" spans="26:31" x14ac:dyDescent="0.25">
      <c r="Z264" s="88" t="str">
        <f>IF(LISTADO_NOM!K264="","",DATE(LISTADO_NOM!M264,LISTADO_NOM!L264,LISTADO_NOM!K264))</f>
        <v/>
      </c>
      <c r="AA264" s="88" t="str">
        <f>IFERROR(INDEX($Z$14:$Z$300, MATCH(0, INDEX(COUNTIF($AA$13:AA263, $Z$14:$Z$300), 0, 0), 0)), "")</f>
        <v/>
      </c>
      <c r="AB264" s="88" t="str">
        <f t="shared" si="3"/>
        <v/>
      </c>
      <c r="AC264">
        <v>251</v>
      </c>
      <c r="AE264" t="str">
        <f>IF(LISTADO_NOM!AK264="","",VLOOKUP(LISTADO_NOM!AK264,SEGUIMIENTOS,2,FALSE))</f>
        <v/>
      </c>
    </row>
    <row r="265" spans="26:31" x14ac:dyDescent="0.25">
      <c r="Z265" s="88" t="str">
        <f>IF(LISTADO_NOM!K265="","",DATE(LISTADO_NOM!M265,LISTADO_NOM!L265,LISTADO_NOM!K265))</f>
        <v/>
      </c>
      <c r="AA265" s="88" t="str">
        <f>IFERROR(INDEX($Z$14:$Z$300, MATCH(0, INDEX(COUNTIF($AA$13:AA264, $Z$14:$Z$300), 0, 0), 0)), "")</f>
        <v/>
      </c>
      <c r="AB265" s="88" t="str">
        <f t="shared" si="3"/>
        <v/>
      </c>
      <c r="AC265">
        <v>252</v>
      </c>
      <c r="AE265" t="str">
        <f>IF(LISTADO_NOM!AK265="","",VLOOKUP(LISTADO_NOM!AK265,SEGUIMIENTOS,2,FALSE))</f>
        <v/>
      </c>
    </row>
    <row r="266" spans="26:31" x14ac:dyDescent="0.25">
      <c r="Z266" s="88" t="str">
        <f>IF(LISTADO_NOM!K266="","",DATE(LISTADO_NOM!M266,LISTADO_NOM!L266,LISTADO_NOM!K266))</f>
        <v/>
      </c>
      <c r="AA266" s="88" t="str">
        <f>IFERROR(INDEX($Z$14:$Z$300, MATCH(0, INDEX(COUNTIF($AA$13:AA265, $Z$14:$Z$300), 0, 0), 0)), "")</f>
        <v/>
      </c>
      <c r="AB266" s="88" t="str">
        <f t="shared" si="3"/>
        <v/>
      </c>
      <c r="AC266">
        <v>253</v>
      </c>
      <c r="AE266" t="str">
        <f>IF(LISTADO_NOM!AK266="","",VLOOKUP(LISTADO_NOM!AK266,SEGUIMIENTOS,2,FALSE))</f>
        <v/>
      </c>
    </row>
    <row r="267" spans="26:31" x14ac:dyDescent="0.25">
      <c r="Z267" s="88" t="str">
        <f>IF(LISTADO_NOM!K267="","",DATE(LISTADO_NOM!M267,LISTADO_NOM!L267,LISTADO_NOM!K267))</f>
        <v/>
      </c>
      <c r="AA267" s="88" t="str">
        <f>IFERROR(INDEX($Z$14:$Z$300, MATCH(0, INDEX(COUNTIF($AA$13:AA266, $Z$14:$Z$300), 0, 0), 0)), "")</f>
        <v/>
      </c>
      <c r="AB267" s="88" t="str">
        <f t="shared" si="3"/>
        <v/>
      </c>
      <c r="AC267">
        <v>254</v>
      </c>
      <c r="AE267" t="str">
        <f>IF(LISTADO_NOM!AK267="","",VLOOKUP(LISTADO_NOM!AK267,SEGUIMIENTOS,2,FALSE))</f>
        <v/>
      </c>
    </row>
    <row r="268" spans="26:31" x14ac:dyDescent="0.25">
      <c r="Z268" s="88" t="str">
        <f>IF(LISTADO_NOM!K268="","",DATE(LISTADO_NOM!M268,LISTADO_NOM!L268,LISTADO_NOM!K268))</f>
        <v/>
      </c>
      <c r="AA268" s="88" t="str">
        <f>IFERROR(INDEX($Z$14:$Z$300, MATCH(0, INDEX(COUNTIF($AA$13:AA267, $Z$14:$Z$300), 0, 0), 0)), "")</f>
        <v/>
      </c>
      <c r="AB268" s="88" t="str">
        <f t="shared" si="3"/>
        <v/>
      </c>
      <c r="AC268">
        <v>255</v>
      </c>
      <c r="AE268" t="str">
        <f>IF(LISTADO_NOM!AK268="","",VLOOKUP(LISTADO_NOM!AK268,SEGUIMIENTOS,2,FALSE))</f>
        <v/>
      </c>
    </row>
    <row r="269" spans="26:31" x14ac:dyDescent="0.25">
      <c r="Z269" s="88" t="str">
        <f>IF(LISTADO_NOM!K269="","",DATE(LISTADO_NOM!M269,LISTADO_NOM!L269,LISTADO_NOM!K269))</f>
        <v/>
      </c>
      <c r="AA269" s="88" t="str">
        <f>IFERROR(INDEX($Z$14:$Z$300, MATCH(0, INDEX(COUNTIF($AA$13:AA268, $Z$14:$Z$300), 0, 0), 0)), "")</f>
        <v/>
      </c>
      <c r="AB269" s="88" t="str">
        <f t="shared" si="3"/>
        <v/>
      </c>
      <c r="AC269">
        <v>256</v>
      </c>
      <c r="AE269" t="str">
        <f>IF(LISTADO_NOM!AK269="","",VLOOKUP(LISTADO_NOM!AK269,SEGUIMIENTOS,2,FALSE))</f>
        <v/>
      </c>
    </row>
    <row r="270" spans="26:31" x14ac:dyDescent="0.25">
      <c r="Z270" s="88" t="str">
        <f>IF(LISTADO_NOM!K270="","",DATE(LISTADO_NOM!M270,LISTADO_NOM!L270,LISTADO_NOM!K270))</f>
        <v/>
      </c>
      <c r="AA270" s="88" t="str">
        <f>IFERROR(INDEX($Z$14:$Z$300, MATCH(0, INDEX(COUNTIF($AA$13:AA269, $Z$14:$Z$300), 0, 0), 0)), "")</f>
        <v/>
      </c>
      <c r="AB270" s="88" t="str">
        <f t="shared" ref="AB270:AB333" si="4">IF(AA270="","",SMALL(ORDENA_,AC270))</f>
        <v/>
      </c>
      <c r="AC270">
        <v>257</v>
      </c>
      <c r="AE270" t="str">
        <f>IF(LISTADO_NOM!AK270="","",VLOOKUP(LISTADO_NOM!AK270,SEGUIMIENTOS,2,FALSE))</f>
        <v/>
      </c>
    </row>
    <row r="271" spans="26:31" x14ac:dyDescent="0.25">
      <c r="Z271" s="88" t="str">
        <f>IF(LISTADO_NOM!K271="","",DATE(LISTADO_NOM!M271,LISTADO_NOM!L271,LISTADO_NOM!K271))</f>
        <v/>
      </c>
      <c r="AA271" s="88" t="str">
        <f>IFERROR(INDEX($Z$14:$Z$300, MATCH(0, INDEX(COUNTIF($AA$13:AA270, $Z$14:$Z$300), 0, 0), 0)), "")</f>
        <v/>
      </c>
      <c r="AB271" s="88" t="str">
        <f t="shared" si="4"/>
        <v/>
      </c>
      <c r="AC271">
        <v>258</v>
      </c>
      <c r="AE271" t="str">
        <f>IF(LISTADO_NOM!AK271="","",VLOOKUP(LISTADO_NOM!AK271,SEGUIMIENTOS,2,FALSE))</f>
        <v/>
      </c>
    </row>
    <row r="272" spans="26:31" x14ac:dyDescent="0.25">
      <c r="Z272" s="88" t="str">
        <f>IF(LISTADO_NOM!K272="","",DATE(LISTADO_NOM!M272,LISTADO_NOM!L272,LISTADO_NOM!K272))</f>
        <v/>
      </c>
      <c r="AA272" s="88" t="str">
        <f>IFERROR(INDEX($Z$14:$Z$300, MATCH(0, INDEX(COUNTIF($AA$13:AA271, $Z$14:$Z$300), 0, 0), 0)), "")</f>
        <v/>
      </c>
      <c r="AB272" s="88" t="str">
        <f t="shared" si="4"/>
        <v/>
      </c>
      <c r="AC272">
        <v>259</v>
      </c>
      <c r="AE272" t="str">
        <f>IF(LISTADO_NOM!AK272="","",VLOOKUP(LISTADO_NOM!AK272,SEGUIMIENTOS,2,FALSE))</f>
        <v/>
      </c>
    </row>
    <row r="273" spans="26:31" x14ac:dyDescent="0.25">
      <c r="Z273" s="88" t="str">
        <f>IF(LISTADO_NOM!K273="","",DATE(LISTADO_NOM!M273,LISTADO_NOM!L273,LISTADO_NOM!K273))</f>
        <v/>
      </c>
      <c r="AA273" s="88" t="str">
        <f>IFERROR(INDEX($Z$14:$Z$300, MATCH(0, INDEX(COUNTIF($AA$13:AA272, $Z$14:$Z$300), 0, 0), 0)), "")</f>
        <v/>
      </c>
      <c r="AB273" s="88" t="str">
        <f t="shared" si="4"/>
        <v/>
      </c>
      <c r="AC273">
        <v>260</v>
      </c>
      <c r="AE273" t="str">
        <f>IF(LISTADO_NOM!AK273="","",VLOOKUP(LISTADO_NOM!AK273,SEGUIMIENTOS,2,FALSE))</f>
        <v/>
      </c>
    </row>
    <row r="274" spans="26:31" x14ac:dyDescent="0.25">
      <c r="Z274" s="88" t="str">
        <f>IF(LISTADO_NOM!K274="","",DATE(LISTADO_NOM!M274,LISTADO_NOM!L274,LISTADO_NOM!K274))</f>
        <v/>
      </c>
      <c r="AA274" s="88" t="str">
        <f>IFERROR(INDEX($Z$14:$Z$300, MATCH(0, INDEX(COUNTIF($AA$13:AA273, $Z$14:$Z$300), 0, 0), 0)), "")</f>
        <v/>
      </c>
      <c r="AB274" s="88" t="str">
        <f t="shared" si="4"/>
        <v/>
      </c>
      <c r="AC274">
        <v>261</v>
      </c>
      <c r="AE274" t="str">
        <f>IF(LISTADO_NOM!AK274="","",VLOOKUP(LISTADO_NOM!AK274,SEGUIMIENTOS,2,FALSE))</f>
        <v/>
      </c>
    </row>
    <row r="275" spans="26:31" x14ac:dyDescent="0.25">
      <c r="Z275" s="88" t="str">
        <f>IF(LISTADO_NOM!K275="","",DATE(LISTADO_NOM!M275,LISTADO_NOM!L275,LISTADO_NOM!K275))</f>
        <v/>
      </c>
      <c r="AA275" s="88" t="str">
        <f>IFERROR(INDEX($Z$14:$Z$300, MATCH(0, INDEX(COUNTIF($AA$13:AA274, $Z$14:$Z$300), 0, 0), 0)), "")</f>
        <v/>
      </c>
      <c r="AB275" s="88" t="str">
        <f t="shared" si="4"/>
        <v/>
      </c>
      <c r="AC275">
        <v>262</v>
      </c>
      <c r="AE275" t="str">
        <f>IF(LISTADO_NOM!AK275="","",VLOOKUP(LISTADO_NOM!AK275,SEGUIMIENTOS,2,FALSE))</f>
        <v/>
      </c>
    </row>
    <row r="276" spans="26:31" x14ac:dyDescent="0.25">
      <c r="Z276" s="88" t="str">
        <f>IF(LISTADO_NOM!K276="","",DATE(LISTADO_NOM!M276,LISTADO_NOM!L276,LISTADO_NOM!K276))</f>
        <v/>
      </c>
      <c r="AA276" s="88" t="str">
        <f>IFERROR(INDEX($Z$14:$Z$300, MATCH(0, INDEX(COUNTIF($AA$13:AA275, $Z$14:$Z$300), 0, 0), 0)), "")</f>
        <v/>
      </c>
      <c r="AB276" s="88" t="str">
        <f t="shared" si="4"/>
        <v/>
      </c>
      <c r="AC276">
        <v>263</v>
      </c>
      <c r="AE276" t="str">
        <f>IF(LISTADO_NOM!AK276="","",VLOOKUP(LISTADO_NOM!AK276,SEGUIMIENTOS,2,FALSE))</f>
        <v/>
      </c>
    </row>
    <row r="277" spans="26:31" x14ac:dyDescent="0.25">
      <c r="Z277" s="88" t="str">
        <f>IF(LISTADO_NOM!K277="","",DATE(LISTADO_NOM!M277,LISTADO_NOM!L277,LISTADO_NOM!K277))</f>
        <v/>
      </c>
      <c r="AA277" s="88" t="str">
        <f>IFERROR(INDEX($Z$14:$Z$300, MATCH(0, INDEX(COUNTIF($AA$13:AA276, $Z$14:$Z$300), 0, 0), 0)), "")</f>
        <v/>
      </c>
      <c r="AB277" s="88" t="str">
        <f t="shared" si="4"/>
        <v/>
      </c>
      <c r="AC277">
        <v>264</v>
      </c>
      <c r="AE277" t="str">
        <f>IF(LISTADO_NOM!AK277="","",VLOOKUP(LISTADO_NOM!AK277,SEGUIMIENTOS,2,FALSE))</f>
        <v/>
      </c>
    </row>
    <row r="278" spans="26:31" x14ac:dyDescent="0.25">
      <c r="Z278" s="88" t="str">
        <f>IF(LISTADO_NOM!K278="","",DATE(LISTADO_NOM!M278,LISTADO_NOM!L278,LISTADO_NOM!K278))</f>
        <v/>
      </c>
      <c r="AA278" s="88" t="str">
        <f>IFERROR(INDEX($Z$14:$Z$300, MATCH(0, INDEX(COUNTIF($AA$13:AA277, $Z$14:$Z$300), 0, 0), 0)), "")</f>
        <v/>
      </c>
      <c r="AB278" s="88" t="str">
        <f t="shared" si="4"/>
        <v/>
      </c>
      <c r="AC278">
        <v>265</v>
      </c>
      <c r="AE278" t="str">
        <f>IF(LISTADO_NOM!AK278="","",VLOOKUP(LISTADO_NOM!AK278,SEGUIMIENTOS,2,FALSE))</f>
        <v/>
      </c>
    </row>
    <row r="279" spans="26:31" x14ac:dyDescent="0.25">
      <c r="Z279" s="88" t="str">
        <f>IF(LISTADO_NOM!K279="","",DATE(LISTADO_NOM!M279,LISTADO_NOM!L279,LISTADO_NOM!K279))</f>
        <v/>
      </c>
      <c r="AA279" s="88" t="str">
        <f>IFERROR(INDEX($Z$14:$Z$300, MATCH(0, INDEX(COUNTIF($AA$13:AA278, $Z$14:$Z$300), 0, 0), 0)), "")</f>
        <v/>
      </c>
      <c r="AB279" s="88" t="str">
        <f t="shared" si="4"/>
        <v/>
      </c>
      <c r="AC279">
        <v>266</v>
      </c>
      <c r="AE279" t="str">
        <f>IF(LISTADO_NOM!AK279="","",VLOOKUP(LISTADO_NOM!AK279,SEGUIMIENTOS,2,FALSE))</f>
        <v/>
      </c>
    </row>
    <row r="280" spans="26:31" x14ac:dyDescent="0.25">
      <c r="Z280" s="88" t="str">
        <f>IF(LISTADO_NOM!K280="","",DATE(LISTADO_NOM!M280,LISTADO_NOM!L280,LISTADO_NOM!K280))</f>
        <v/>
      </c>
      <c r="AA280" s="88" t="str">
        <f>IFERROR(INDEX($Z$14:$Z$300, MATCH(0, INDEX(COUNTIF($AA$13:AA279, $Z$14:$Z$300), 0, 0), 0)), "")</f>
        <v/>
      </c>
      <c r="AB280" s="88" t="str">
        <f t="shared" si="4"/>
        <v/>
      </c>
      <c r="AC280">
        <v>267</v>
      </c>
      <c r="AE280" t="str">
        <f>IF(LISTADO_NOM!AK280="","",VLOOKUP(LISTADO_NOM!AK280,SEGUIMIENTOS,2,FALSE))</f>
        <v/>
      </c>
    </row>
    <row r="281" spans="26:31" x14ac:dyDescent="0.25">
      <c r="Z281" s="88" t="str">
        <f>IF(LISTADO_NOM!K281="","",DATE(LISTADO_NOM!M281,LISTADO_NOM!L281,LISTADO_NOM!K281))</f>
        <v/>
      </c>
      <c r="AA281" s="88" t="str">
        <f>IFERROR(INDEX($Z$14:$Z$300, MATCH(0, INDEX(COUNTIF($AA$13:AA280, $Z$14:$Z$300), 0, 0), 0)), "")</f>
        <v/>
      </c>
      <c r="AB281" s="88" t="str">
        <f t="shared" si="4"/>
        <v/>
      </c>
      <c r="AC281">
        <v>268</v>
      </c>
      <c r="AE281" t="str">
        <f>IF(LISTADO_NOM!AK281="","",VLOOKUP(LISTADO_NOM!AK281,SEGUIMIENTOS,2,FALSE))</f>
        <v/>
      </c>
    </row>
    <row r="282" spans="26:31" x14ac:dyDescent="0.25">
      <c r="Z282" s="88" t="str">
        <f>IF(LISTADO_NOM!K282="","",DATE(LISTADO_NOM!M282,LISTADO_NOM!L282,LISTADO_NOM!K282))</f>
        <v/>
      </c>
      <c r="AA282" s="88" t="str">
        <f>IFERROR(INDEX($Z$14:$Z$300, MATCH(0, INDEX(COUNTIF($AA$13:AA281, $Z$14:$Z$300), 0, 0), 0)), "")</f>
        <v/>
      </c>
      <c r="AB282" s="88" t="str">
        <f t="shared" si="4"/>
        <v/>
      </c>
      <c r="AC282">
        <v>269</v>
      </c>
      <c r="AE282" t="str">
        <f>IF(LISTADO_NOM!AK282="","",VLOOKUP(LISTADO_NOM!AK282,SEGUIMIENTOS,2,FALSE))</f>
        <v/>
      </c>
    </row>
    <row r="283" spans="26:31" x14ac:dyDescent="0.25">
      <c r="Z283" s="88" t="str">
        <f>IF(LISTADO_NOM!K283="","",DATE(LISTADO_NOM!M283,LISTADO_NOM!L283,LISTADO_NOM!K283))</f>
        <v/>
      </c>
      <c r="AA283" s="88" t="str">
        <f>IFERROR(INDEX($Z$14:$Z$300, MATCH(0, INDEX(COUNTIF($AA$13:AA282, $Z$14:$Z$300), 0, 0), 0)), "")</f>
        <v/>
      </c>
      <c r="AB283" s="88" t="str">
        <f t="shared" si="4"/>
        <v/>
      </c>
      <c r="AC283">
        <v>270</v>
      </c>
      <c r="AE283" t="str">
        <f>IF(LISTADO_NOM!AK283="","",VLOOKUP(LISTADO_NOM!AK283,SEGUIMIENTOS,2,FALSE))</f>
        <v/>
      </c>
    </row>
    <row r="284" spans="26:31" x14ac:dyDescent="0.25">
      <c r="Z284" s="88" t="str">
        <f>IF(LISTADO_NOM!K284="","",DATE(LISTADO_NOM!M284,LISTADO_NOM!L284,LISTADO_NOM!K284))</f>
        <v/>
      </c>
      <c r="AA284" s="88" t="str">
        <f>IFERROR(INDEX($Z$14:$Z$300, MATCH(0, INDEX(COUNTIF($AA$13:AA283, $Z$14:$Z$300), 0, 0), 0)), "")</f>
        <v/>
      </c>
      <c r="AB284" s="88" t="str">
        <f t="shared" si="4"/>
        <v/>
      </c>
      <c r="AC284">
        <v>271</v>
      </c>
      <c r="AE284" t="str">
        <f>IF(LISTADO_NOM!AK284="","",VLOOKUP(LISTADO_NOM!AK284,SEGUIMIENTOS,2,FALSE))</f>
        <v/>
      </c>
    </row>
    <row r="285" spans="26:31" x14ac:dyDescent="0.25">
      <c r="Z285" s="88" t="str">
        <f>IF(LISTADO_NOM!K285="","",DATE(LISTADO_NOM!M285,LISTADO_NOM!L285,LISTADO_NOM!K285))</f>
        <v/>
      </c>
      <c r="AA285" s="88" t="str">
        <f>IFERROR(INDEX($Z$14:$Z$300, MATCH(0, INDEX(COUNTIF($AA$13:AA284, $Z$14:$Z$300), 0, 0), 0)), "")</f>
        <v/>
      </c>
      <c r="AB285" s="88" t="str">
        <f t="shared" si="4"/>
        <v/>
      </c>
      <c r="AC285">
        <v>272</v>
      </c>
      <c r="AE285" t="str">
        <f>IF(LISTADO_NOM!AK285="","",VLOOKUP(LISTADO_NOM!AK285,SEGUIMIENTOS,2,FALSE))</f>
        <v/>
      </c>
    </row>
    <row r="286" spans="26:31" x14ac:dyDescent="0.25">
      <c r="Z286" s="88" t="str">
        <f>IF(LISTADO_NOM!K286="","",DATE(LISTADO_NOM!M286,LISTADO_NOM!L286,LISTADO_NOM!K286))</f>
        <v/>
      </c>
      <c r="AA286" s="88" t="str">
        <f>IFERROR(INDEX($Z$14:$Z$300, MATCH(0, INDEX(COUNTIF($AA$13:AA285, $Z$14:$Z$300), 0, 0), 0)), "")</f>
        <v/>
      </c>
      <c r="AB286" s="88" t="str">
        <f t="shared" si="4"/>
        <v/>
      </c>
      <c r="AC286">
        <v>273</v>
      </c>
      <c r="AE286" t="str">
        <f>IF(LISTADO_NOM!AK286="","",VLOOKUP(LISTADO_NOM!AK286,SEGUIMIENTOS,2,FALSE))</f>
        <v/>
      </c>
    </row>
    <row r="287" spans="26:31" x14ac:dyDescent="0.25">
      <c r="Z287" s="88" t="str">
        <f>IF(LISTADO_NOM!K287="","",DATE(LISTADO_NOM!M287,LISTADO_NOM!L287,LISTADO_NOM!K287))</f>
        <v/>
      </c>
      <c r="AA287" s="88" t="str">
        <f>IFERROR(INDEX($Z$14:$Z$300, MATCH(0, INDEX(COUNTIF($AA$13:AA286, $Z$14:$Z$300), 0, 0), 0)), "")</f>
        <v/>
      </c>
      <c r="AB287" s="88" t="str">
        <f t="shared" si="4"/>
        <v/>
      </c>
      <c r="AC287">
        <v>274</v>
      </c>
      <c r="AE287" t="str">
        <f>IF(LISTADO_NOM!AK287="","",VLOOKUP(LISTADO_NOM!AK287,SEGUIMIENTOS,2,FALSE))</f>
        <v/>
      </c>
    </row>
    <row r="288" spans="26:31" x14ac:dyDescent="0.25">
      <c r="Z288" s="88" t="str">
        <f>IF(LISTADO_NOM!K288="","",DATE(LISTADO_NOM!M288,LISTADO_NOM!L288,LISTADO_NOM!K288))</f>
        <v/>
      </c>
      <c r="AA288" s="88" t="str">
        <f>IFERROR(INDEX($Z$14:$Z$300, MATCH(0, INDEX(COUNTIF($AA$13:AA287, $Z$14:$Z$300), 0, 0), 0)), "")</f>
        <v/>
      </c>
      <c r="AB288" s="88" t="str">
        <f t="shared" si="4"/>
        <v/>
      </c>
      <c r="AC288">
        <v>275</v>
      </c>
      <c r="AE288" t="str">
        <f>IF(LISTADO_NOM!AK288="","",VLOOKUP(LISTADO_NOM!AK288,SEGUIMIENTOS,2,FALSE))</f>
        <v/>
      </c>
    </row>
    <row r="289" spans="26:31" x14ac:dyDescent="0.25">
      <c r="Z289" s="88" t="str">
        <f>IF(LISTADO_NOM!K289="","",DATE(LISTADO_NOM!M289,LISTADO_NOM!L289,LISTADO_NOM!K289))</f>
        <v/>
      </c>
      <c r="AA289" s="88" t="str">
        <f>IFERROR(INDEX($Z$14:$Z$300, MATCH(0, INDEX(COUNTIF($AA$13:AA288, $Z$14:$Z$300), 0, 0), 0)), "")</f>
        <v/>
      </c>
      <c r="AB289" s="88" t="str">
        <f t="shared" si="4"/>
        <v/>
      </c>
      <c r="AC289">
        <v>276</v>
      </c>
      <c r="AE289" t="str">
        <f>IF(LISTADO_NOM!AK289="","",VLOOKUP(LISTADO_NOM!AK289,SEGUIMIENTOS,2,FALSE))</f>
        <v/>
      </c>
    </row>
    <row r="290" spans="26:31" x14ac:dyDescent="0.25">
      <c r="Z290" s="88" t="str">
        <f>IF(LISTADO_NOM!K290="","",DATE(LISTADO_NOM!M290,LISTADO_NOM!L290,LISTADO_NOM!K290))</f>
        <v/>
      </c>
      <c r="AA290" s="88" t="str">
        <f>IFERROR(INDEX($Z$14:$Z$300, MATCH(0, INDEX(COUNTIF($AA$13:AA289, $Z$14:$Z$300), 0, 0), 0)), "")</f>
        <v/>
      </c>
      <c r="AB290" s="88" t="str">
        <f t="shared" si="4"/>
        <v/>
      </c>
      <c r="AC290">
        <v>277</v>
      </c>
      <c r="AE290" t="str">
        <f>IF(LISTADO_NOM!AK290="","",VLOOKUP(LISTADO_NOM!AK290,SEGUIMIENTOS,2,FALSE))</f>
        <v/>
      </c>
    </row>
    <row r="291" spans="26:31" x14ac:dyDescent="0.25">
      <c r="Z291" s="88" t="str">
        <f>IF(LISTADO_NOM!K291="","",DATE(LISTADO_NOM!M291,LISTADO_NOM!L291,LISTADO_NOM!K291))</f>
        <v/>
      </c>
      <c r="AA291" s="88" t="str">
        <f>IFERROR(INDEX($Z$14:$Z$300, MATCH(0, INDEX(COUNTIF($AA$13:AA290, $Z$14:$Z$300), 0, 0), 0)), "")</f>
        <v/>
      </c>
      <c r="AB291" s="88" t="str">
        <f t="shared" si="4"/>
        <v/>
      </c>
      <c r="AC291">
        <v>278</v>
      </c>
      <c r="AE291" t="str">
        <f>IF(LISTADO_NOM!AK291="","",VLOOKUP(LISTADO_NOM!AK291,SEGUIMIENTOS,2,FALSE))</f>
        <v/>
      </c>
    </row>
    <row r="292" spans="26:31" x14ac:dyDescent="0.25">
      <c r="Z292" s="88" t="str">
        <f>IF(LISTADO_NOM!K292="","",DATE(LISTADO_NOM!M292,LISTADO_NOM!L292,LISTADO_NOM!K292))</f>
        <v/>
      </c>
      <c r="AA292" s="88" t="str">
        <f>IFERROR(INDEX($Z$14:$Z$300, MATCH(0, INDEX(COUNTIF($AA$13:AA291, $Z$14:$Z$300), 0, 0), 0)), "")</f>
        <v/>
      </c>
      <c r="AB292" s="88" t="str">
        <f t="shared" si="4"/>
        <v/>
      </c>
      <c r="AC292">
        <v>279</v>
      </c>
      <c r="AE292" t="str">
        <f>IF(LISTADO_NOM!AK292="","",VLOOKUP(LISTADO_NOM!AK292,SEGUIMIENTOS,2,FALSE))</f>
        <v/>
      </c>
    </row>
    <row r="293" spans="26:31" x14ac:dyDescent="0.25">
      <c r="Z293" s="88" t="str">
        <f>IF(LISTADO_NOM!K293="","",DATE(LISTADO_NOM!M293,LISTADO_NOM!L293,LISTADO_NOM!K293))</f>
        <v/>
      </c>
      <c r="AA293" s="88" t="str">
        <f>IFERROR(INDEX($Z$14:$Z$300, MATCH(0, INDEX(COUNTIF($AA$13:AA292, $Z$14:$Z$300), 0, 0), 0)), "")</f>
        <v/>
      </c>
      <c r="AB293" s="88" t="str">
        <f t="shared" si="4"/>
        <v/>
      </c>
      <c r="AC293">
        <v>280</v>
      </c>
      <c r="AE293" t="str">
        <f>IF(LISTADO_NOM!AK293="","",VLOOKUP(LISTADO_NOM!AK293,SEGUIMIENTOS,2,FALSE))</f>
        <v/>
      </c>
    </row>
    <row r="294" spans="26:31" x14ac:dyDescent="0.25">
      <c r="Z294" s="88" t="str">
        <f>IF(LISTADO_NOM!K294="","",DATE(LISTADO_NOM!M294,LISTADO_NOM!L294,LISTADO_NOM!K294))</f>
        <v/>
      </c>
      <c r="AA294" s="88" t="str">
        <f>IFERROR(INDEX($Z$14:$Z$300, MATCH(0, INDEX(COUNTIF($AA$13:AA293, $Z$14:$Z$300), 0, 0), 0)), "")</f>
        <v/>
      </c>
      <c r="AB294" s="88" t="str">
        <f t="shared" si="4"/>
        <v/>
      </c>
      <c r="AC294">
        <v>281</v>
      </c>
      <c r="AE294" t="str">
        <f>IF(LISTADO_NOM!AK294="","",VLOOKUP(LISTADO_NOM!AK294,SEGUIMIENTOS,2,FALSE))</f>
        <v/>
      </c>
    </row>
    <row r="295" spans="26:31" x14ac:dyDescent="0.25">
      <c r="Z295" s="88" t="str">
        <f>IF(LISTADO_NOM!K295="","",DATE(LISTADO_NOM!M295,LISTADO_NOM!L295,LISTADO_NOM!K295))</f>
        <v/>
      </c>
      <c r="AA295" s="88" t="str">
        <f>IFERROR(INDEX($Z$14:$Z$300, MATCH(0, INDEX(COUNTIF($AA$13:AA294, $Z$14:$Z$300), 0, 0), 0)), "")</f>
        <v/>
      </c>
      <c r="AB295" s="88" t="str">
        <f t="shared" si="4"/>
        <v/>
      </c>
      <c r="AC295">
        <v>282</v>
      </c>
      <c r="AE295" t="str">
        <f>IF(LISTADO_NOM!AK295="","",VLOOKUP(LISTADO_NOM!AK295,SEGUIMIENTOS,2,FALSE))</f>
        <v/>
      </c>
    </row>
    <row r="296" spans="26:31" x14ac:dyDescent="0.25">
      <c r="Z296" s="88" t="str">
        <f>IF(LISTADO_NOM!K296="","",DATE(LISTADO_NOM!M296,LISTADO_NOM!L296,LISTADO_NOM!K296))</f>
        <v/>
      </c>
      <c r="AA296" s="88" t="str">
        <f>IFERROR(INDEX($Z$14:$Z$300, MATCH(0, INDEX(COUNTIF($AA$13:AA295, $Z$14:$Z$300), 0, 0), 0)), "")</f>
        <v/>
      </c>
      <c r="AB296" s="88" t="str">
        <f t="shared" si="4"/>
        <v/>
      </c>
      <c r="AC296">
        <v>283</v>
      </c>
      <c r="AE296" t="str">
        <f>IF(LISTADO_NOM!AK296="","",VLOOKUP(LISTADO_NOM!AK296,SEGUIMIENTOS,2,FALSE))</f>
        <v/>
      </c>
    </row>
    <row r="297" spans="26:31" x14ac:dyDescent="0.25">
      <c r="Z297" s="88" t="str">
        <f>IF(LISTADO_NOM!K297="","",DATE(LISTADO_NOM!M297,LISTADO_NOM!L297,LISTADO_NOM!K297))</f>
        <v/>
      </c>
      <c r="AA297" s="88" t="str">
        <f>IFERROR(INDEX($Z$14:$Z$300, MATCH(0, INDEX(COUNTIF($AA$13:AA296, $Z$14:$Z$300), 0, 0), 0)), "")</f>
        <v/>
      </c>
      <c r="AB297" s="88" t="str">
        <f t="shared" si="4"/>
        <v/>
      </c>
      <c r="AC297">
        <v>284</v>
      </c>
      <c r="AE297" t="str">
        <f>IF(LISTADO_NOM!AK297="","",VLOOKUP(LISTADO_NOM!AK297,SEGUIMIENTOS,2,FALSE))</f>
        <v/>
      </c>
    </row>
    <row r="298" spans="26:31" x14ac:dyDescent="0.25">
      <c r="Z298" s="88" t="str">
        <f>IF(LISTADO_NOM!K298="","",DATE(LISTADO_NOM!M298,LISTADO_NOM!L298,LISTADO_NOM!K298))</f>
        <v/>
      </c>
      <c r="AA298" s="88" t="str">
        <f>IFERROR(INDEX($Z$14:$Z$300, MATCH(0, INDEX(COUNTIF($AA$13:AA297, $Z$14:$Z$300), 0, 0), 0)), "")</f>
        <v/>
      </c>
      <c r="AB298" s="88" t="str">
        <f t="shared" si="4"/>
        <v/>
      </c>
      <c r="AC298">
        <v>285</v>
      </c>
      <c r="AE298" t="str">
        <f>IF(LISTADO_NOM!AK298="","",VLOOKUP(LISTADO_NOM!AK298,SEGUIMIENTOS,2,FALSE))</f>
        <v/>
      </c>
    </row>
    <row r="299" spans="26:31" x14ac:dyDescent="0.25">
      <c r="Z299" s="88" t="str">
        <f>IF(LISTADO_NOM!K299="","",DATE(LISTADO_NOM!M299,LISTADO_NOM!L299,LISTADO_NOM!K299))</f>
        <v/>
      </c>
      <c r="AA299" s="88" t="str">
        <f>IFERROR(INDEX($Z$14:$Z$300, MATCH(0, INDEX(COUNTIF($AA$13:AA298, $Z$14:$Z$300), 0, 0), 0)), "")</f>
        <v/>
      </c>
      <c r="AB299" s="88" t="str">
        <f t="shared" si="4"/>
        <v/>
      </c>
      <c r="AC299">
        <v>286</v>
      </c>
      <c r="AE299" t="str">
        <f>IF(LISTADO_NOM!AK299="","",VLOOKUP(LISTADO_NOM!AK299,SEGUIMIENTOS,2,FALSE))</f>
        <v/>
      </c>
    </row>
    <row r="300" spans="26:31" x14ac:dyDescent="0.25">
      <c r="Z300" s="88" t="str">
        <f>IF(LISTADO_NOM!K300="","",DATE(LISTADO_NOM!M300,LISTADO_NOM!L300,LISTADO_NOM!K300))</f>
        <v/>
      </c>
      <c r="AA300" s="88" t="str">
        <f>IFERROR(INDEX($Z$14:$Z$300, MATCH(0, INDEX(COUNTIF($AA$13:AA299, $Z$14:$Z$300), 0, 0), 0)), "")</f>
        <v/>
      </c>
      <c r="AB300" s="88" t="str">
        <f t="shared" si="4"/>
        <v/>
      </c>
      <c r="AC300">
        <v>287</v>
      </c>
      <c r="AE300" t="str">
        <f>IF(LISTADO_NOM!AK300="","",VLOOKUP(LISTADO_NOM!AK300,SEGUIMIENTOS,2,FALSE))</f>
        <v/>
      </c>
    </row>
    <row r="301" spans="26:31" x14ac:dyDescent="0.25">
      <c r="Z301" s="88" t="str">
        <f>IF(LISTADO_NOM!K301="","",DATE(LISTADO_NOM!M301,LISTADO_NOM!L301,LISTADO_NOM!K301))</f>
        <v/>
      </c>
      <c r="AA301" s="88" t="str">
        <f>IFERROR(INDEX($Z$14:$Z$300, MATCH(0, INDEX(COUNTIF($AA$13:AA300, $Z$14:$Z$300), 0, 0), 0)), "")</f>
        <v/>
      </c>
      <c r="AB301" s="88" t="str">
        <f t="shared" si="4"/>
        <v/>
      </c>
      <c r="AC301">
        <v>288</v>
      </c>
      <c r="AE301" t="str">
        <f>IF(LISTADO_NOM!AK301="","",VLOOKUP(LISTADO_NOM!AK301,SEGUIMIENTOS,2,FALSE))</f>
        <v/>
      </c>
    </row>
    <row r="302" spans="26:31" x14ac:dyDescent="0.25">
      <c r="Z302" s="88" t="str">
        <f>IF(LISTADO_NOM!K302="","",DATE(LISTADO_NOM!M302,LISTADO_NOM!L302,LISTADO_NOM!K302))</f>
        <v/>
      </c>
      <c r="AA302" s="88" t="str">
        <f>IFERROR(INDEX($Z$14:$Z$300, MATCH(0, INDEX(COUNTIF($AA$13:AA301, $Z$14:$Z$300), 0, 0), 0)), "")</f>
        <v/>
      </c>
      <c r="AB302" s="88" t="str">
        <f t="shared" si="4"/>
        <v/>
      </c>
      <c r="AC302">
        <v>289</v>
      </c>
      <c r="AE302" t="str">
        <f>IF(LISTADO_NOM!AK302="","",VLOOKUP(LISTADO_NOM!AK302,SEGUIMIENTOS,2,FALSE))</f>
        <v/>
      </c>
    </row>
    <row r="303" spans="26:31" x14ac:dyDescent="0.25">
      <c r="Z303" s="88" t="str">
        <f>IF(LISTADO_NOM!K303="","",DATE(LISTADO_NOM!M303,LISTADO_NOM!L303,LISTADO_NOM!K303))</f>
        <v/>
      </c>
      <c r="AA303" s="88" t="str">
        <f>IFERROR(INDEX($Z$14:$Z$300, MATCH(0, INDEX(COUNTIF($AA$13:AA302, $Z$14:$Z$300), 0, 0), 0)), "")</f>
        <v/>
      </c>
      <c r="AB303" s="88" t="str">
        <f t="shared" si="4"/>
        <v/>
      </c>
      <c r="AC303">
        <v>290</v>
      </c>
      <c r="AE303" t="str">
        <f>IF(LISTADO_NOM!AK303="","",VLOOKUP(LISTADO_NOM!AK303,SEGUIMIENTOS,2,FALSE))</f>
        <v/>
      </c>
    </row>
    <row r="304" spans="26:31" x14ac:dyDescent="0.25">
      <c r="Z304" s="88" t="str">
        <f>IF(LISTADO_NOM!K304="","",DATE(LISTADO_NOM!M304,LISTADO_NOM!L304,LISTADO_NOM!K304))</f>
        <v/>
      </c>
      <c r="AA304" s="88" t="str">
        <f>IFERROR(INDEX($Z$14:$Z$300, MATCH(0, INDEX(COUNTIF($AA$13:AA303, $Z$14:$Z$300), 0, 0), 0)), "")</f>
        <v/>
      </c>
      <c r="AB304" s="88" t="str">
        <f t="shared" si="4"/>
        <v/>
      </c>
      <c r="AC304">
        <v>291</v>
      </c>
      <c r="AE304" t="str">
        <f>IF(LISTADO_NOM!AK304="","",VLOOKUP(LISTADO_NOM!AK304,SEGUIMIENTOS,2,FALSE))</f>
        <v/>
      </c>
    </row>
    <row r="305" spans="26:31" x14ac:dyDescent="0.25">
      <c r="Z305" s="88" t="str">
        <f>IF(LISTADO_NOM!K305="","",DATE(LISTADO_NOM!M305,LISTADO_NOM!L305,LISTADO_NOM!K305))</f>
        <v/>
      </c>
      <c r="AA305" s="88" t="str">
        <f>IFERROR(INDEX($Z$14:$Z$300, MATCH(0, INDEX(COUNTIF($AA$13:AA304, $Z$14:$Z$300), 0, 0), 0)), "")</f>
        <v/>
      </c>
      <c r="AB305" s="88" t="str">
        <f t="shared" si="4"/>
        <v/>
      </c>
      <c r="AC305">
        <v>292</v>
      </c>
      <c r="AE305" t="str">
        <f>IF(LISTADO_NOM!AK305="","",VLOOKUP(LISTADO_NOM!AK305,SEGUIMIENTOS,2,FALSE))</f>
        <v/>
      </c>
    </row>
    <row r="306" spans="26:31" x14ac:dyDescent="0.25">
      <c r="Z306" s="88" t="str">
        <f>IF(LISTADO_NOM!K306="","",DATE(LISTADO_NOM!M306,LISTADO_NOM!L306,LISTADO_NOM!K306))</f>
        <v/>
      </c>
      <c r="AA306" s="88" t="str">
        <f>IFERROR(INDEX($Z$14:$Z$300, MATCH(0, INDEX(COUNTIF($AA$13:AA305, $Z$14:$Z$300), 0, 0), 0)), "")</f>
        <v/>
      </c>
      <c r="AB306" s="88" t="str">
        <f t="shared" si="4"/>
        <v/>
      </c>
      <c r="AC306">
        <v>293</v>
      </c>
      <c r="AE306" t="str">
        <f>IF(LISTADO_NOM!AK306="","",VLOOKUP(LISTADO_NOM!AK306,SEGUIMIENTOS,2,FALSE))</f>
        <v/>
      </c>
    </row>
    <row r="307" spans="26:31" x14ac:dyDescent="0.25">
      <c r="Z307" s="88" t="str">
        <f>IF(LISTADO_NOM!K307="","",DATE(LISTADO_NOM!M307,LISTADO_NOM!L307,LISTADO_NOM!K307))</f>
        <v/>
      </c>
      <c r="AA307" s="88" t="str">
        <f>IFERROR(INDEX($Z$14:$Z$300, MATCH(0, INDEX(COUNTIF($AA$13:AA306, $Z$14:$Z$300), 0, 0), 0)), "")</f>
        <v/>
      </c>
      <c r="AB307" s="88" t="str">
        <f t="shared" si="4"/>
        <v/>
      </c>
      <c r="AC307">
        <v>294</v>
      </c>
      <c r="AE307" t="str">
        <f>IF(LISTADO_NOM!AK307="","",VLOOKUP(LISTADO_NOM!AK307,SEGUIMIENTOS,2,FALSE))</f>
        <v/>
      </c>
    </row>
    <row r="308" spans="26:31" x14ac:dyDescent="0.25">
      <c r="Z308" s="88" t="str">
        <f>IF(LISTADO_NOM!K308="","",DATE(LISTADO_NOM!M308,LISTADO_NOM!L308,LISTADO_NOM!K308))</f>
        <v/>
      </c>
      <c r="AA308" s="88" t="str">
        <f>IFERROR(INDEX($Z$14:$Z$300, MATCH(0, INDEX(COUNTIF($AA$13:AA307, $Z$14:$Z$300), 0, 0), 0)), "")</f>
        <v/>
      </c>
      <c r="AB308" s="88" t="str">
        <f t="shared" si="4"/>
        <v/>
      </c>
      <c r="AC308">
        <v>295</v>
      </c>
      <c r="AE308" t="str">
        <f>IF(LISTADO_NOM!AK308="","",VLOOKUP(LISTADO_NOM!AK308,SEGUIMIENTOS,2,FALSE))</f>
        <v/>
      </c>
    </row>
    <row r="309" spans="26:31" x14ac:dyDescent="0.25">
      <c r="Z309" s="88" t="str">
        <f>IF(LISTADO_NOM!K309="","",DATE(LISTADO_NOM!M309,LISTADO_NOM!L309,LISTADO_NOM!K309))</f>
        <v/>
      </c>
      <c r="AA309" s="88" t="str">
        <f>IFERROR(INDEX($Z$14:$Z$300, MATCH(0, INDEX(COUNTIF($AA$13:AA308, $Z$14:$Z$300), 0, 0), 0)), "")</f>
        <v/>
      </c>
      <c r="AB309" s="88" t="str">
        <f t="shared" si="4"/>
        <v/>
      </c>
      <c r="AC309">
        <v>296</v>
      </c>
      <c r="AE309" t="str">
        <f>IF(LISTADO_NOM!AK309="","",VLOOKUP(LISTADO_NOM!AK309,SEGUIMIENTOS,2,FALSE))</f>
        <v/>
      </c>
    </row>
    <row r="310" spans="26:31" x14ac:dyDescent="0.25">
      <c r="Z310" s="88" t="str">
        <f>IF(LISTADO_NOM!K310="","",DATE(LISTADO_NOM!M310,LISTADO_NOM!L310,LISTADO_NOM!K310))</f>
        <v/>
      </c>
      <c r="AA310" s="88" t="str">
        <f>IFERROR(INDEX($Z$14:$Z$300, MATCH(0, INDEX(COUNTIF($AA$13:AA309, $Z$14:$Z$300), 0, 0), 0)), "")</f>
        <v/>
      </c>
      <c r="AB310" s="88" t="str">
        <f t="shared" si="4"/>
        <v/>
      </c>
      <c r="AC310">
        <v>297</v>
      </c>
      <c r="AE310" t="str">
        <f>IF(LISTADO_NOM!AK310="","",VLOOKUP(LISTADO_NOM!AK310,SEGUIMIENTOS,2,FALSE))</f>
        <v/>
      </c>
    </row>
    <row r="311" spans="26:31" x14ac:dyDescent="0.25">
      <c r="Z311" s="88" t="str">
        <f>IF(LISTADO_NOM!K311="","",DATE(LISTADO_NOM!M311,LISTADO_NOM!L311,LISTADO_NOM!K311))</f>
        <v/>
      </c>
      <c r="AA311" s="88" t="str">
        <f>IFERROR(INDEX($Z$14:$Z$300, MATCH(0, INDEX(COUNTIF($AA$13:AA310, $Z$14:$Z$300), 0, 0), 0)), "")</f>
        <v/>
      </c>
      <c r="AB311" s="88" t="str">
        <f t="shared" si="4"/>
        <v/>
      </c>
      <c r="AC311">
        <v>298</v>
      </c>
      <c r="AE311" t="str">
        <f>IF(LISTADO_NOM!AK311="","",VLOOKUP(LISTADO_NOM!AK311,SEGUIMIENTOS,2,FALSE))</f>
        <v/>
      </c>
    </row>
    <row r="312" spans="26:31" x14ac:dyDescent="0.25">
      <c r="Z312" t="str">
        <f>IF(LISTADO_NOM!K312="","",DATE(LISTADO_NOM!M312,LISTADO_NOM!L312,LISTADO_NOM!K312))</f>
        <v/>
      </c>
      <c r="AA312" s="88" t="str">
        <f>IFERROR(INDEX($Z$14:$Z$300, MATCH(0, INDEX(COUNTIF($AA$13:AA311, $Z$14:$Z$300), 0, 0), 0)), "")</f>
        <v/>
      </c>
      <c r="AB312" s="88" t="str">
        <f t="shared" si="4"/>
        <v/>
      </c>
      <c r="AC312">
        <v>299</v>
      </c>
      <c r="AE312" t="str">
        <f>IF(LISTADO_NOM!AK312="","",VLOOKUP(LISTADO_NOM!AK312,SEGUIMIENTOS,2,FALSE))</f>
        <v/>
      </c>
    </row>
    <row r="313" spans="26:31" x14ac:dyDescent="0.25">
      <c r="Z313" t="str">
        <f>IF(LISTADO_NOM!K313="","",DATE(LISTADO_NOM!M313,LISTADO_NOM!L313,LISTADO_NOM!K313))</f>
        <v/>
      </c>
      <c r="AA313" s="88" t="str">
        <f>IFERROR(INDEX($Z$14:$Z$300, MATCH(0, INDEX(COUNTIF($AA$13:AA312, $Z$14:$Z$300), 0, 0), 0)), "")</f>
        <v/>
      </c>
      <c r="AB313" s="88" t="str">
        <f t="shared" si="4"/>
        <v/>
      </c>
      <c r="AC313">
        <v>300</v>
      </c>
      <c r="AE313" t="str">
        <f>IF(LISTADO_NOM!AK313="","",VLOOKUP(LISTADO_NOM!AK313,SEGUIMIENTOS,2,FALSE))</f>
        <v/>
      </c>
    </row>
    <row r="314" spans="26:31" x14ac:dyDescent="0.25">
      <c r="Z314" t="str">
        <f>IF(LISTADO_NOM!K314="","",DATE(LISTADO_NOM!M314,LISTADO_NOM!L314,LISTADO_NOM!K314))</f>
        <v/>
      </c>
      <c r="AA314" s="88" t="str">
        <f>IFERROR(INDEX($Z$14:$Z$300, MATCH(0, INDEX(COUNTIF($AA$13:AA313, $Z$14:$Z$300), 0, 0), 0)), "")</f>
        <v/>
      </c>
      <c r="AB314" s="88" t="str">
        <f t="shared" si="4"/>
        <v/>
      </c>
      <c r="AC314">
        <v>301</v>
      </c>
      <c r="AE314" t="str">
        <f>IF(LISTADO_NOM!AK314="","",VLOOKUP(LISTADO_NOM!AK314,SEGUIMIENTOS,2,FALSE))</f>
        <v/>
      </c>
    </row>
    <row r="315" spans="26:31" x14ac:dyDescent="0.25">
      <c r="Z315" t="str">
        <f>IF(LISTADO_NOM!K315="","",DATE(LISTADO_NOM!M315,LISTADO_NOM!L315,LISTADO_NOM!K315))</f>
        <v/>
      </c>
      <c r="AA315" s="88" t="str">
        <f>IFERROR(INDEX($Z$14:$Z$300, MATCH(0, INDEX(COUNTIF($AA$13:AA314, $Z$14:$Z$300), 0, 0), 0)), "")</f>
        <v/>
      </c>
      <c r="AB315" s="88" t="str">
        <f t="shared" si="4"/>
        <v/>
      </c>
      <c r="AC315">
        <v>302</v>
      </c>
      <c r="AE315" t="str">
        <f>IF(LISTADO_NOM!AK315="","",VLOOKUP(LISTADO_NOM!AK315,SEGUIMIENTOS,2,FALSE))</f>
        <v/>
      </c>
    </row>
    <row r="316" spans="26:31" x14ac:dyDescent="0.25">
      <c r="Z316" t="str">
        <f>IF(LISTADO_NOM!K316="","",DATE(LISTADO_NOM!M316,LISTADO_NOM!L316,LISTADO_NOM!K316))</f>
        <v/>
      </c>
      <c r="AA316" s="88" t="str">
        <f>IFERROR(INDEX($Z$14:$Z$300, MATCH(0, INDEX(COUNTIF($AA$13:AA315, $Z$14:$Z$300), 0, 0), 0)), "")</f>
        <v/>
      </c>
      <c r="AB316" s="88" t="str">
        <f t="shared" si="4"/>
        <v/>
      </c>
      <c r="AC316">
        <v>303</v>
      </c>
      <c r="AE316" t="str">
        <f>IF(LISTADO_NOM!AK316="","",VLOOKUP(LISTADO_NOM!AK316,SEGUIMIENTOS,2,FALSE))</f>
        <v/>
      </c>
    </row>
    <row r="317" spans="26:31" x14ac:dyDescent="0.25">
      <c r="Z317" t="str">
        <f>IF(LISTADO_NOM!K317="","",DATE(LISTADO_NOM!M317,LISTADO_NOM!L317,LISTADO_NOM!K317))</f>
        <v/>
      </c>
      <c r="AA317" s="88" t="str">
        <f>IFERROR(INDEX($Z$14:$Z$300, MATCH(0, INDEX(COUNTIF($AA$13:AA316, $Z$14:$Z$300), 0, 0), 0)), "")</f>
        <v/>
      </c>
      <c r="AB317" s="88" t="str">
        <f t="shared" si="4"/>
        <v/>
      </c>
      <c r="AC317">
        <v>304</v>
      </c>
      <c r="AE317" t="str">
        <f>IF(LISTADO_NOM!AK317="","",VLOOKUP(LISTADO_NOM!AK317,SEGUIMIENTOS,2,FALSE))</f>
        <v/>
      </c>
    </row>
    <row r="318" spans="26:31" x14ac:dyDescent="0.25">
      <c r="Z318" t="str">
        <f>IF(LISTADO_NOM!K318="","",DATE(LISTADO_NOM!M318,LISTADO_NOM!L318,LISTADO_NOM!K318))</f>
        <v/>
      </c>
      <c r="AA318" s="88" t="str">
        <f>IFERROR(INDEX($Z$14:$Z$300, MATCH(0, INDEX(COUNTIF($AA$13:AA317, $Z$14:$Z$300), 0, 0), 0)), "")</f>
        <v/>
      </c>
      <c r="AB318" s="88" t="str">
        <f t="shared" si="4"/>
        <v/>
      </c>
      <c r="AC318">
        <v>305</v>
      </c>
      <c r="AE318" t="str">
        <f>IF(LISTADO_NOM!AK318="","",VLOOKUP(LISTADO_NOM!AK318,SEGUIMIENTOS,2,FALSE))</f>
        <v/>
      </c>
    </row>
    <row r="319" spans="26:31" x14ac:dyDescent="0.25">
      <c r="Z319" t="str">
        <f>IF(LISTADO_NOM!K319="","",DATE(LISTADO_NOM!M319,LISTADO_NOM!L319,LISTADO_NOM!K319))</f>
        <v/>
      </c>
      <c r="AA319" s="88" t="str">
        <f>IFERROR(INDEX($Z$14:$Z$300, MATCH(0, INDEX(COUNTIF($AA$13:AA318, $Z$14:$Z$300), 0, 0), 0)), "")</f>
        <v/>
      </c>
      <c r="AB319" s="88" t="str">
        <f t="shared" si="4"/>
        <v/>
      </c>
      <c r="AC319">
        <v>306</v>
      </c>
      <c r="AE319" t="str">
        <f>IF(LISTADO_NOM!AK319="","",VLOOKUP(LISTADO_NOM!AK319,SEGUIMIENTOS,2,FALSE))</f>
        <v/>
      </c>
    </row>
    <row r="320" spans="26:31" x14ac:dyDescent="0.25">
      <c r="Z320" t="str">
        <f>IF(LISTADO_NOM!K320="","",DATE(LISTADO_NOM!M320,LISTADO_NOM!L320,LISTADO_NOM!K320))</f>
        <v/>
      </c>
      <c r="AA320" s="88" t="str">
        <f>IFERROR(INDEX($Z$14:$Z$300, MATCH(0, INDEX(COUNTIF($AA$13:AA319, $Z$14:$Z$300), 0, 0), 0)), "")</f>
        <v/>
      </c>
      <c r="AB320" s="88" t="str">
        <f t="shared" si="4"/>
        <v/>
      </c>
      <c r="AC320">
        <v>307</v>
      </c>
      <c r="AE320" t="str">
        <f>IF(LISTADO_NOM!AK320="","",VLOOKUP(LISTADO_NOM!AK320,SEGUIMIENTOS,2,FALSE))</f>
        <v/>
      </c>
    </row>
    <row r="321" spans="26:31" x14ac:dyDescent="0.25">
      <c r="Z321" t="str">
        <f>IF(LISTADO_NOM!K321="","",DATE(LISTADO_NOM!M321,LISTADO_NOM!L321,LISTADO_NOM!K321))</f>
        <v/>
      </c>
      <c r="AA321" s="88" t="str">
        <f>IFERROR(INDEX($Z$14:$Z$300, MATCH(0, INDEX(COUNTIF($AA$13:AA320, $Z$14:$Z$300), 0, 0), 0)), "")</f>
        <v/>
      </c>
      <c r="AB321" s="88" t="str">
        <f t="shared" si="4"/>
        <v/>
      </c>
      <c r="AC321">
        <v>308</v>
      </c>
      <c r="AE321" t="str">
        <f>IF(LISTADO_NOM!AK321="","",VLOOKUP(LISTADO_NOM!AK321,SEGUIMIENTOS,2,FALSE))</f>
        <v/>
      </c>
    </row>
    <row r="322" spans="26:31" x14ac:dyDescent="0.25">
      <c r="Z322" s="88" t="str">
        <f>IF(LISTADO_NOM!K322="","",DATE(LISTADO_NOM!M322,LISTADO_NOM!L322,LISTADO_NOM!K322))</f>
        <v/>
      </c>
      <c r="AA322" s="88" t="str">
        <f>IFERROR(INDEX($Z$14:$Z$300, MATCH(0, INDEX(COUNTIF($AA$13:AA321, $Z$14:$Z$300), 0, 0), 0)), "")</f>
        <v/>
      </c>
      <c r="AB322" s="88" t="str">
        <f t="shared" si="4"/>
        <v/>
      </c>
      <c r="AC322">
        <v>309</v>
      </c>
      <c r="AE322" t="str">
        <f>IF(LISTADO_NOM!AK322="","",VLOOKUP(LISTADO_NOM!AK322,SEGUIMIENTOS,2,FALSE))</f>
        <v/>
      </c>
    </row>
    <row r="323" spans="26:31" x14ac:dyDescent="0.25">
      <c r="Z323" s="88" t="str">
        <f>IF(LISTADO_NOM!K323="","",DATE(LISTADO_NOM!M323,LISTADO_NOM!L323,LISTADO_NOM!K323))</f>
        <v/>
      </c>
      <c r="AA323" s="88" t="str">
        <f>IFERROR(INDEX($Z$14:$Z$300, MATCH(0, INDEX(COUNTIF($AA$13:AA322, $Z$14:$Z$300), 0, 0), 0)), "")</f>
        <v/>
      </c>
      <c r="AB323" s="88" t="str">
        <f t="shared" si="4"/>
        <v/>
      </c>
      <c r="AC323">
        <v>310</v>
      </c>
      <c r="AE323" t="str">
        <f>IF(LISTADO_NOM!AK323="","",VLOOKUP(LISTADO_NOM!AK323,SEGUIMIENTOS,2,FALSE))</f>
        <v/>
      </c>
    </row>
    <row r="324" spans="26:31" x14ac:dyDescent="0.25">
      <c r="Z324" s="88" t="str">
        <f>IF(LISTADO_NOM!K324="","",DATE(LISTADO_NOM!M324,LISTADO_NOM!L324,LISTADO_NOM!K324))</f>
        <v/>
      </c>
      <c r="AA324" s="88" t="str">
        <f>IFERROR(INDEX($Z$14:$Z$300, MATCH(0, INDEX(COUNTIF($AA$13:AA323, $Z$14:$Z$300), 0, 0), 0)), "")</f>
        <v/>
      </c>
      <c r="AB324" s="88" t="str">
        <f t="shared" si="4"/>
        <v/>
      </c>
      <c r="AC324">
        <v>311</v>
      </c>
      <c r="AE324" t="str">
        <f>IF(LISTADO_NOM!AK324="","",VLOOKUP(LISTADO_NOM!AK324,SEGUIMIENTOS,2,FALSE))</f>
        <v/>
      </c>
    </row>
    <row r="325" spans="26:31" x14ac:dyDescent="0.25">
      <c r="Z325" s="88" t="str">
        <f>IF(LISTADO_NOM!K325="","",DATE(LISTADO_NOM!M325,LISTADO_NOM!L325,LISTADO_NOM!K325))</f>
        <v/>
      </c>
      <c r="AA325" s="88" t="str">
        <f>IFERROR(INDEX($Z$14:$Z$300, MATCH(0, INDEX(COUNTIF($AA$13:AA324, $Z$14:$Z$300), 0, 0), 0)), "")</f>
        <v/>
      </c>
      <c r="AB325" s="88" t="str">
        <f t="shared" si="4"/>
        <v/>
      </c>
      <c r="AC325">
        <v>312</v>
      </c>
      <c r="AE325" t="str">
        <f>IF(LISTADO_NOM!AK325="","",VLOOKUP(LISTADO_NOM!AK325,SEGUIMIENTOS,2,FALSE))</f>
        <v/>
      </c>
    </row>
    <row r="326" spans="26:31" x14ac:dyDescent="0.25">
      <c r="Z326" s="88" t="str">
        <f>IF(LISTADO_NOM!K326="","",DATE(LISTADO_NOM!M326,LISTADO_NOM!L326,LISTADO_NOM!K326))</f>
        <v/>
      </c>
      <c r="AA326" s="88" t="str">
        <f>IFERROR(INDEX($Z$14:$Z$300, MATCH(0, INDEX(COUNTIF($AA$13:AA325, $Z$14:$Z$300), 0, 0), 0)), "")</f>
        <v/>
      </c>
      <c r="AB326" s="88" t="str">
        <f t="shared" si="4"/>
        <v/>
      </c>
      <c r="AC326">
        <v>313</v>
      </c>
      <c r="AE326" t="str">
        <f>IF(LISTADO_NOM!AK326="","",VLOOKUP(LISTADO_NOM!AK326,SEGUIMIENTOS,2,FALSE))</f>
        <v/>
      </c>
    </row>
    <row r="327" spans="26:31" x14ac:dyDescent="0.25">
      <c r="Z327" s="88" t="str">
        <f>IF(LISTADO_NOM!K327="","",DATE(LISTADO_NOM!M327,LISTADO_NOM!L327,LISTADO_NOM!K327))</f>
        <v/>
      </c>
      <c r="AA327" s="88" t="str">
        <f>IFERROR(INDEX($Z$14:$Z$300, MATCH(0, INDEX(COUNTIF($AA$13:AA326, $Z$14:$Z$300), 0, 0), 0)), "")</f>
        <v/>
      </c>
      <c r="AB327" s="88" t="str">
        <f t="shared" si="4"/>
        <v/>
      </c>
      <c r="AC327">
        <v>314</v>
      </c>
      <c r="AE327" t="str">
        <f>IF(LISTADO_NOM!AK327="","",VLOOKUP(LISTADO_NOM!AK327,SEGUIMIENTOS,2,FALSE))</f>
        <v/>
      </c>
    </row>
    <row r="328" spans="26:31" x14ac:dyDescent="0.25">
      <c r="Z328" s="88" t="str">
        <f>IF(LISTADO_NOM!K328="","",DATE(LISTADO_NOM!M328,LISTADO_NOM!L328,LISTADO_NOM!K328))</f>
        <v/>
      </c>
      <c r="AA328" s="88" t="str">
        <f>IFERROR(INDEX($Z$14:$Z$300, MATCH(0, INDEX(COUNTIF($AA$13:AA327, $Z$14:$Z$300), 0, 0), 0)), "")</f>
        <v/>
      </c>
      <c r="AB328" s="88" t="str">
        <f t="shared" si="4"/>
        <v/>
      </c>
      <c r="AC328">
        <v>315</v>
      </c>
      <c r="AE328" t="str">
        <f>IF(LISTADO_NOM!AK328="","",VLOOKUP(LISTADO_NOM!AK328,SEGUIMIENTOS,2,FALSE))</f>
        <v/>
      </c>
    </row>
    <row r="329" spans="26:31" x14ac:dyDescent="0.25">
      <c r="Z329" s="88" t="str">
        <f>IF(LISTADO_NOM!K329="","",DATE(LISTADO_NOM!M329,LISTADO_NOM!L329,LISTADO_NOM!K329))</f>
        <v/>
      </c>
      <c r="AA329" s="88" t="str">
        <f>IFERROR(INDEX($Z$14:$Z$300, MATCH(0, INDEX(COUNTIF($AA$13:AA328, $Z$14:$Z$300), 0, 0), 0)), "")</f>
        <v/>
      </c>
      <c r="AB329" s="88" t="str">
        <f t="shared" si="4"/>
        <v/>
      </c>
      <c r="AC329">
        <v>316</v>
      </c>
      <c r="AE329" t="str">
        <f>IF(LISTADO_NOM!AK329="","",VLOOKUP(LISTADO_NOM!AK329,SEGUIMIENTOS,2,FALSE))</f>
        <v/>
      </c>
    </row>
    <row r="330" spans="26:31" x14ac:dyDescent="0.25">
      <c r="Z330" s="88" t="str">
        <f>IF(LISTADO_NOM!K330="","",DATE(LISTADO_NOM!M330,LISTADO_NOM!L330,LISTADO_NOM!K330))</f>
        <v/>
      </c>
      <c r="AA330" s="88" t="str">
        <f>IFERROR(INDEX($Z$14:$Z$300, MATCH(0, INDEX(COUNTIF($AA$13:AA329, $Z$14:$Z$300), 0, 0), 0)), "")</f>
        <v/>
      </c>
      <c r="AB330" s="88" t="str">
        <f t="shared" si="4"/>
        <v/>
      </c>
      <c r="AC330">
        <v>317</v>
      </c>
      <c r="AE330" t="str">
        <f>IF(LISTADO_NOM!AK330="","",VLOOKUP(LISTADO_NOM!AK330,SEGUIMIENTOS,2,FALSE))</f>
        <v/>
      </c>
    </row>
    <row r="331" spans="26:31" x14ac:dyDescent="0.25">
      <c r="Z331" s="88" t="str">
        <f>IF(LISTADO_NOM!K331="","",DATE(LISTADO_NOM!M331,LISTADO_NOM!L331,LISTADO_NOM!K331))</f>
        <v/>
      </c>
      <c r="AA331" s="88" t="str">
        <f>IFERROR(INDEX($Z$14:$Z$300, MATCH(0, INDEX(COUNTIF($AA$13:AA330, $Z$14:$Z$300), 0, 0), 0)), "")</f>
        <v/>
      </c>
      <c r="AB331" s="88" t="str">
        <f t="shared" si="4"/>
        <v/>
      </c>
      <c r="AC331">
        <v>318</v>
      </c>
      <c r="AE331" t="str">
        <f>IF(LISTADO_NOM!AK331="","",VLOOKUP(LISTADO_NOM!AK331,SEGUIMIENTOS,2,FALSE))</f>
        <v/>
      </c>
    </row>
    <row r="332" spans="26:31" x14ac:dyDescent="0.25">
      <c r="Z332" s="88" t="str">
        <f>IF(LISTADO_NOM!K332="","",DATE(LISTADO_NOM!M332,LISTADO_NOM!L332,LISTADO_NOM!K332))</f>
        <v/>
      </c>
      <c r="AA332" s="88" t="str">
        <f>IFERROR(INDEX($Z$14:$Z$300, MATCH(0, INDEX(COUNTIF($AA$13:AA331, $Z$14:$Z$300), 0, 0), 0)), "")</f>
        <v/>
      </c>
      <c r="AB332" s="88" t="str">
        <f t="shared" si="4"/>
        <v/>
      </c>
      <c r="AC332">
        <v>319</v>
      </c>
      <c r="AE332" t="str">
        <f>IF(LISTADO_NOM!AK332="","",VLOOKUP(LISTADO_NOM!AK332,SEGUIMIENTOS,2,FALSE))</f>
        <v/>
      </c>
    </row>
    <row r="333" spans="26:31" x14ac:dyDescent="0.25">
      <c r="Z333" s="88" t="str">
        <f>IF(LISTADO_NOM!K333="","",DATE(LISTADO_NOM!M333,LISTADO_NOM!L333,LISTADO_NOM!K333))</f>
        <v/>
      </c>
      <c r="AA333" s="88" t="str">
        <f>IFERROR(INDEX($Z$14:$Z$300, MATCH(0, INDEX(COUNTIF($AA$13:AA332, $Z$14:$Z$300), 0, 0), 0)), "")</f>
        <v/>
      </c>
      <c r="AB333" s="88" t="str">
        <f t="shared" si="4"/>
        <v/>
      </c>
      <c r="AC333">
        <v>320</v>
      </c>
      <c r="AE333" t="str">
        <f>IF(LISTADO_NOM!AK333="","",VLOOKUP(LISTADO_NOM!AK333,SEGUIMIENTOS,2,FALSE))</f>
        <v/>
      </c>
    </row>
    <row r="334" spans="26:31" x14ac:dyDescent="0.25">
      <c r="Z334" s="88" t="str">
        <f>IF(LISTADO_NOM!K334="","",DATE(LISTADO_NOM!M334,LISTADO_NOM!L334,LISTADO_NOM!K334))</f>
        <v/>
      </c>
      <c r="AA334" s="88" t="str">
        <f>IFERROR(INDEX($Z$14:$Z$300, MATCH(0, INDEX(COUNTIF($AA$13:AA333, $Z$14:$Z$300), 0, 0), 0)), "")</f>
        <v/>
      </c>
      <c r="AB334" s="88" t="str">
        <f t="shared" ref="AB334:AB397" si="5">IF(AA334="","",SMALL(ORDENA_,AC334))</f>
        <v/>
      </c>
      <c r="AC334">
        <v>321</v>
      </c>
      <c r="AE334" t="str">
        <f>IF(LISTADO_NOM!AK334="","",VLOOKUP(LISTADO_NOM!AK334,SEGUIMIENTOS,2,FALSE))</f>
        <v/>
      </c>
    </row>
    <row r="335" spans="26:31" x14ac:dyDescent="0.25">
      <c r="Z335" s="88" t="str">
        <f>IF(LISTADO_NOM!K335="","",DATE(LISTADO_NOM!M335,LISTADO_NOM!L335,LISTADO_NOM!K335))</f>
        <v/>
      </c>
      <c r="AA335" s="88" t="str">
        <f>IFERROR(INDEX($Z$14:$Z$300, MATCH(0, INDEX(COUNTIF($AA$13:AA334, $Z$14:$Z$300), 0, 0), 0)), "")</f>
        <v/>
      </c>
      <c r="AB335" s="88" t="str">
        <f t="shared" si="5"/>
        <v/>
      </c>
      <c r="AC335">
        <v>322</v>
      </c>
      <c r="AE335" t="str">
        <f>IF(LISTADO_NOM!AK335="","",VLOOKUP(LISTADO_NOM!AK335,SEGUIMIENTOS,2,FALSE))</f>
        <v/>
      </c>
    </row>
    <row r="336" spans="26:31" x14ac:dyDescent="0.25">
      <c r="Z336" s="88" t="str">
        <f>IF(LISTADO_NOM!K336="","",DATE(LISTADO_NOM!M336,LISTADO_NOM!L336,LISTADO_NOM!K336))</f>
        <v/>
      </c>
      <c r="AA336" s="88" t="str">
        <f>IFERROR(INDEX($Z$14:$Z$300, MATCH(0, INDEX(COUNTIF($AA$13:AA335, $Z$14:$Z$300), 0, 0), 0)), "")</f>
        <v/>
      </c>
      <c r="AB336" s="88" t="str">
        <f t="shared" si="5"/>
        <v/>
      </c>
      <c r="AC336">
        <v>323</v>
      </c>
      <c r="AE336" t="str">
        <f>IF(LISTADO_NOM!AK336="","",VLOOKUP(LISTADO_NOM!AK336,SEGUIMIENTOS,2,FALSE))</f>
        <v/>
      </c>
    </row>
    <row r="337" spans="26:31" x14ac:dyDescent="0.25">
      <c r="Z337" s="88" t="str">
        <f>IF(LISTADO_NOM!K337="","",DATE(LISTADO_NOM!M337,LISTADO_NOM!L337,LISTADO_NOM!K337))</f>
        <v/>
      </c>
      <c r="AA337" s="88" t="str">
        <f>IFERROR(INDEX($Z$14:$Z$300, MATCH(0, INDEX(COUNTIF($AA$13:AA336, $Z$14:$Z$300), 0, 0), 0)), "")</f>
        <v/>
      </c>
      <c r="AB337" s="88" t="str">
        <f t="shared" si="5"/>
        <v/>
      </c>
      <c r="AC337">
        <v>324</v>
      </c>
      <c r="AE337" t="str">
        <f>IF(LISTADO_NOM!AK337="","",VLOOKUP(LISTADO_NOM!AK337,SEGUIMIENTOS,2,FALSE))</f>
        <v/>
      </c>
    </row>
    <row r="338" spans="26:31" x14ac:dyDescent="0.25">
      <c r="Z338" s="88" t="str">
        <f>IF(LISTADO_NOM!K338="","",DATE(LISTADO_NOM!M338,LISTADO_NOM!L338,LISTADO_NOM!K338))</f>
        <v/>
      </c>
      <c r="AA338" s="88" t="str">
        <f>IFERROR(INDEX($Z$14:$Z$300, MATCH(0, INDEX(COUNTIF($AA$13:AA337, $Z$14:$Z$300), 0, 0), 0)), "")</f>
        <v/>
      </c>
      <c r="AB338" s="88" t="str">
        <f t="shared" si="5"/>
        <v/>
      </c>
      <c r="AC338">
        <v>325</v>
      </c>
      <c r="AE338" t="str">
        <f>IF(LISTADO_NOM!AK338="","",VLOOKUP(LISTADO_NOM!AK338,SEGUIMIENTOS,2,FALSE))</f>
        <v/>
      </c>
    </row>
    <row r="339" spans="26:31" x14ac:dyDescent="0.25">
      <c r="Z339" s="88" t="str">
        <f>IF(LISTADO_NOM!K339="","",DATE(LISTADO_NOM!M339,LISTADO_NOM!L339,LISTADO_NOM!K339))</f>
        <v/>
      </c>
      <c r="AA339" s="88" t="str">
        <f>IFERROR(INDEX($Z$14:$Z$300, MATCH(0, INDEX(COUNTIF($AA$13:AA338, $Z$14:$Z$300), 0, 0), 0)), "")</f>
        <v/>
      </c>
      <c r="AB339" s="88" t="str">
        <f t="shared" si="5"/>
        <v/>
      </c>
      <c r="AC339">
        <v>326</v>
      </c>
      <c r="AE339" t="str">
        <f>IF(LISTADO_NOM!AK339="","",VLOOKUP(LISTADO_NOM!AK339,SEGUIMIENTOS,2,FALSE))</f>
        <v/>
      </c>
    </row>
    <row r="340" spans="26:31" x14ac:dyDescent="0.25">
      <c r="Z340" s="88" t="str">
        <f>IF(LISTADO_NOM!K340="","",DATE(LISTADO_NOM!M340,LISTADO_NOM!L340,LISTADO_NOM!K340))</f>
        <v/>
      </c>
      <c r="AA340" s="88" t="str">
        <f>IFERROR(INDEX($Z$14:$Z$300, MATCH(0, INDEX(COUNTIF($AA$13:AA339, $Z$14:$Z$300), 0, 0), 0)), "")</f>
        <v/>
      </c>
      <c r="AB340" s="88" t="str">
        <f t="shared" si="5"/>
        <v/>
      </c>
      <c r="AC340">
        <v>327</v>
      </c>
      <c r="AE340" t="str">
        <f>IF(LISTADO_NOM!AK340="","",VLOOKUP(LISTADO_NOM!AK340,SEGUIMIENTOS,2,FALSE))</f>
        <v/>
      </c>
    </row>
    <row r="341" spans="26:31" x14ac:dyDescent="0.25">
      <c r="Z341" s="88" t="str">
        <f>IF(LISTADO_NOM!K341="","",DATE(LISTADO_NOM!M341,LISTADO_NOM!L341,LISTADO_NOM!K341))</f>
        <v/>
      </c>
      <c r="AA341" s="88" t="str">
        <f>IFERROR(INDEX($Z$14:$Z$300, MATCH(0, INDEX(COUNTIF($AA$13:AA340, $Z$14:$Z$300), 0, 0), 0)), "")</f>
        <v/>
      </c>
      <c r="AB341" s="88" t="str">
        <f t="shared" si="5"/>
        <v/>
      </c>
      <c r="AC341">
        <v>328</v>
      </c>
      <c r="AE341" t="str">
        <f>IF(LISTADO_NOM!AK341="","",VLOOKUP(LISTADO_NOM!AK341,SEGUIMIENTOS,2,FALSE))</f>
        <v/>
      </c>
    </row>
    <row r="342" spans="26:31" x14ac:dyDescent="0.25">
      <c r="Z342" s="88" t="str">
        <f>IF(LISTADO_NOM!K342="","",DATE(LISTADO_NOM!M342,LISTADO_NOM!L342,LISTADO_NOM!K342))</f>
        <v/>
      </c>
      <c r="AA342" s="88" t="str">
        <f>IFERROR(INDEX($Z$14:$Z$300, MATCH(0, INDEX(COUNTIF($AA$13:AA341, $Z$14:$Z$300), 0, 0), 0)), "")</f>
        <v/>
      </c>
      <c r="AB342" s="88" t="str">
        <f t="shared" si="5"/>
        <v/>
      </c>
      <c r="AC342">
        <v>329</v>
      </c>
      <c r="AE342" t="str">
        <f>IF(LISTADO_NOM!AK342="","",VLOOKUP(LISTADO_NOM!AK342,SEGUIMIENTOS,2,FALSE))</f>
        <v/>
      </c>
    </row>
    <row r="343" spans="26:31" x14ac:dyDescent="0.25">
      <c r="Z343" s="88" t="str">
        <f>IF(LISTADO_NOM!K343="","",DATE(LISTADO_NOM!M343,LISTADO_NOM!L343,LISTADO_NOM!K343))</f>
        <v/>
      </c>
      <c r="AA343" s="88" t="str">
        <f>IFERROR(INDEX($Z$14:$Z$300, MATCH(0, INDEX(COUNTIF($AA$13:AA342, $Z$14:$Z$300), 0, 0), 0)), "")</f>
        <v/>
      </c>
      <c r="AB343" s="88" t="str">
        <f t="shared" si="5"/>
        <v/>
      </c>
      <c r="AC343">
        <v>330</v>
      </c>
      <c r="AE343" t="str">
        <f>IF(LISTADO_NOM!AK343="","",VLOOKUP(LISTADO_NOM!AK343,SEGUIMIENTOS,2,FALSE))</f>
        <v/>
      </c>
    </row>
    <row r="344" spans="26:31" x14ac:dyDescent="0.25">
      <c r="Z344" s="88" t="str">
        <f>IF(LISTADO_NOM!K344="","",DATE(LISTADO_NOM!M344,LISTADO_NOM!L344,LISTADO_NOM!K344))</f>
        <v/>
      </c>
      <c r="AA344" s="88" t="str">
        <f>IFERROR(INDEX($Z$14:$Z$300, MATCH(0, INDEX(COUNTIF($AA$13:AA343, $Z$14:$Z$300), 0, 0), 0)), "")</f>
        <v/>
      </c>
      <c r="AB344" s="88" t="str">
        <f t="shared" si="5"/>
        <v/>
      </c>
      <c r="AC344">
        <v>331</v>
      </c>
      <c r="AE344" t="str">
        <f>IF(LISTADO_NOM!AK344="","",VLOOKUP(LISTADO_NOM!AK344,SEGUIMIENTOS,2,FALSE))</f>
        <v/>
      </c>
    </row>
    <row r="345" spans="26:31" x14ac:dyDescent="0.25">
      <c r="Z345" s="88" t="str">
        <f>IF(LISTADO_NOM!K345="","",DATE(LISTADO_NOM!M345,LISTADO_NOM!L345,LISTADO_NOM!K345))</f>
        <v/>
      </c>
      <c r="AA345" s="88" t="str">
        <f>IFERROR(INDEX($Z$14:$Z$300, MATCH(0, INDEX(COUNTIF($AA$13:AA344, $Z$14:$Z$300), 0, 0), 0)), "")</f>
        <v/>
      </c>
      <c r="AB345" s="88" t="str">
        <f t="shared" si="5"/>
        <v/>
      </c>
      <c r="AC345">
        <v>332</v>
      </c>
      <c r="AE345" t="str">
        <f>IF(LISTADO_NOM!AK345="","",VLOOKUP(LISTADO_NOM!AK345,SEGUIMIENTOS,2,FALSE))</f>
        <v/>
      </c>
    </row>
    <row r="346" spans="26:31" x14ac:dyDescent="0.25">
      <c r="Z346" s="88" t="str">
        <f>IF(LISTADO_NOM!K346="","",DATE(LISTADO_NOM!M346,LISTADO_NOM!L346,LISTADO_NOM!K346))</f>
        <v/>
      </c>
      <c r="AA346" s="88" t="str">
        <f>IFERROR(INDEX($Z$14:$Z$300, MATCH(0, INDEX(COUNTIF($AA$13:AA345, $Z$14:$Z$300), 0, 0), 0)), "")</f>
        <v/>
      </c>
      <c r="AB346" s="88" t="str">
        <f t="shared" si="5"/>
        <v/>
      </c>
      <c r="AC346">
        <v>333</v>
      </c>
      <c r="AE346" t="str">
        <f>IF(LISTADO_NOM!AK346="","",VLOOKUP(LISTADO_NOM!AK346,SEGUIMIENTOS,2,FALSE))</f>
        <v/>
      </c>
    </row>
    <row r="347" spans="26:31" x14ac:dyDescent="0.25">
      <c r="Z347" s="88" t="str">
        <f>IF(LISTADO_NOM!K347="","",DATE(LISTADO_NOM!M347,LISTADO_NOM!L347,LISTADO_NOM!K347))</f>
        <v/>
      </c>
      <c r="AA347" s="88" t="str">
        <f>IFERROR(INDEX($Z$14:$Z$300, MATCH(0, INDEX(COUNTIF($AA$13:AA346, $Z$14:$Z$300), 0, 0), 0)), "")</f>
        <v/>
      </c>
      <c r="AB347" s="88" t="str">
        <f t="shared" si="5"/>
        <v/>
      </c>
      <c r="AC347">
        <v>334</v>
      </c>
      <c r="AE347" t="str">
        <f>IF(LISTADO_NOM!AK347="","",VLOOKUP(LISTADO_NOM!AK347,SEGUIMIENTOS,2,FALSE))</f>
        <v/>
      </c>
    </row>
    <row r="348" spans="26:31" x14ac:dyDescent="0.25">
      <c r="Z348" s="88" t="str">
        <f>IF(LISTADO_NOM!K348="","",DATE(LISTADO_NOM!M348,LISTADO_NOM!L348,LISTADO_NOM!K348))</f>
        <v/>
      </c>
      <c r="AA348" s="88" t="str">
        <f>IFERROR(INDEX($Z$14:$Z$300, MATCH(0, INDEX(COUNTIF($AA$13:AA347, $Z$14:$Z$300), 0, 0), 0)), "")</f>
        <v/>
      </c>
      <c r="AB348" s="88" t="str">
        <f t="shared" si="5"/>
        <v/>
      </c>
      <c r="AC348">
        <v>335</v>
      </c>
      <c r="AE348" t="str">
        <f>IF(LISTADO_NOM!AK348="","",VLOOKUP(LISTADO_NOM!AK348,SEGUIMIENTOS,2,FALSE))</f>
        <v/>
      </c>
    </row>
    <row r="349" spans="26:31" x14ac:dyDescent="0.25">
      <c r="Z349" s="88" t="str">
        <f>IF(LISTADO_NOM!K349="","",DATE(LISTADO_NOM!M349,LISTADO_NOM!L349,LISTADO_NOM!K349))</f>
        <v/>
      </c>
      <c r="AA349" s="88" t="str">
        <f>IFERROR(INDEX($Z$14:$Z$300, MATCH(0, INDEX(COUNTIF($AA$13:AA348, $Z$14:$Z$300), 0, 0), 0)), "")</f>
        <v/>
      </c>
      <c r="AB349" s="88" t="str">
        <f t="shared" si="5"/>
        <v/>
      </c>
      <c r="AC349">
        <v>336</v>
      </c>
      <c r="AE349" t="str">
        <f>IF(LISTADO_NOM!AK349="","",VLOOKUP(LISTADO_NOM!AK349,SEGUIMIENTOS,2,FALSE))</f>
        <v/>
      </c>
    </row>
    <row r="350" spans="26:31" x14ac:dyDescent="0.25">
      <c r="Z350" s="88" t="str">
        <f>IF(LISTADO_NOM!K350="","",DATE(LISTADO_NOM!M350,LISTADO_NOM!L350,LISTADO_NOM!K350))</f>
        <v/>
      </c>
      <c r="AA350" s="88" t="str">
        <f>IFERROR(INDEX($Z$14:$Z$300, MATCH(0, INDEX(COUNTIF($AA$13:AA349, $Z$14:$Z$300), 0, 0), 0)), "")</f>
        <v/>
      </c>
      <c r="AB350" s="88" t="str">
        <f t="shared" si="5"/>
        <v/>
      </c>
      <c r="AC350">
        <v>337</v>
      </c>
      <c r="AE350" t="str">
        <f>IF(LISTADO_NOM!AK350="","",VLOOKUP(LISTADO_NOM!AK350,SEGUIMIENTOS,2,FALSE))</f>
        <v/>
      </c>
    </row>
    <row r="351" spans="26:31" x14ac:dyDescent="0.25">
      <c r="Z351" s="88" t="str">
        <f>IF(LISTADO_NOM!K351="","",DATE(LISTADO_NOM!M351,LISTADO_NOM!L351,LISTADO_NOM!K351))</f>
        <v/>
      </c>
      <c r="AA351" s="88" t="str">
        <f>IFERROR(INDEX($Z$14:$Z$300, MATCH(0, INDEX(COUNTIF($AA$13:AA350, $Z$14:$Z$300), 0, 0), 0)), "")</f>
        <v/>
      </c>
      <c r="AB351" s="88" t="str">
        <f t="shared" si="5"/>
        <v/>
      </c>
      <c r="AC351">
        <v>338</v>
      </c>
      <c r="AE351" t="str">
        <f>IF(LISTADO_NOM!AK351="","",VLOOKUP(LISTADO_NOM!AK351,SEGUIMIENTOS,2,FALSE))</f>
        <v/>
      </c>
    </row>
    <row r="352" spans="26:31" x14ac:dyDescent="0.25">
      <c r="Z352" s="88" t="str">
        <f>IF(LISTADO_NOM!K352="","",DATE(LISTADO_NOM!M352,LISTADO_NOM!L352,LISTADO_NOM!K352))</f>
        <v/>
      </c>
      <c r="AA352" s="88" t="str">
        <f>IFERROR(INDEX($Z$14:$Z$300, MATCH(0, INDEX(COUNTIF($AA$13:AA351, $Z$14:$Z$300), 0, 0), 0)), "")</f>
        <v/>
      </c>
      <c r="AB352" s="88" t="str">
        <f t="shared" si="5"/>
        <v/>
      </c>
      <c r="AC352">
        <v>339</v>
      </c>
      <c r="AE352" t="str">
        <f>IF(LISTADO_NOM!AK352="","",VLOOKUP(LISTADO_NOM!AK352,SEGUIMIENTOS,2,FALSE))</f>
        <v/>
      </c>
    </row>
    <row r="353" spans="26:31" x14ac:dyDescent="0.25">
      <c r="Z353" s="88" t="str">
        <f>IF(LISTADO_NOM!K353="","",DATE(LISTADO_NOM!M353,LISTADO_NOM!L353,LISTADO_NOM!K353))</f>
        <v/>
      </c>
      <c r="AA353" s="88" t="str">
        <f>IFERROR(INDEX($Z$14:$Z$300, MATCH(0, INDEX(COUNTIF($AA$13:AA352, $Z$14:$Z$300), 0, 0), 0)), "")</f>
        <v/>
      </c>
      <c r="AB353" s="88" t="str">
        <f t="shared" si="5"/>
        <v/>
      </c>
      <c r="AC353">
        <v>340</v>
      </c>
      <c r="AE353" t="str">
        <f>IF(LISTADO_NOM!AK353="","",VLOOKUP(LISTADO_NOM!AK353,SEGUIMIENTOS,2,FALSE))</f>
        <v/>
      </c>
    </row>
    <row r="354" spans="26:31" x14ac:dyDescent="0.25">
      <c r="Z354" s="88" t="str">
        <f>IF(LISTADO_NOM!K354="","",DATE(LISTADO_NOM!M354,LISTADO_NOM!L354,LISTADO_NOM!K354))</f>
        <v/>
      </c>
      <c r="AA354" s="88" t="str">
        <f>IFERROR(INDEX($Z$14:$Z$300, MATCH(0, INDEX(COUNTIF($AA$13:AA353, $Z$14:$Z$300), 0, 0), 0)), "")</f>
        <v/>
      </c>
      <c r="AB354" s="88" t="str">
        <f t="shared" si="5"/>
        <v/>
      </c>
      <c r="AC354">
        <v>341</v>
      </c>
      <c r="AE354" t="str">
        <f>IF(LISTADO_NOM!AK354="","",VLOOKUP(LISTADO_NOM!AK354,SEGUIMIENTOS,2,FALSE))</f>
        <v/>
      </c>
    </row>
    <row r="355" spans="26:31" x14ac:dyDescent="0.25">
      <c r="Z355" s="88" t="str">
        <f>IF(LISTADO_NOM!K355="","",DATE(LISTADO_NOM!M355,LISTADO_NOM!L355,LISTADO_NOM!K355))</f>
        <v/>
      </c>
      <c r="AA355" s="88" t="str">
        <f>IFERROR(INDEX($Z$14:$Z$300, MATCH(0, INDEX(COUNTIF($AA$13:AA354, $Z$14:$Z$300), 0, 0), 0)), "")</f>
        <v/>
      </c>
      <c r="AB355" s="88" t="str">
        <f t="shared" si="5"/>
        <v/>
      </c>
      <c r="AC355">
        <v>342</v>
      </c>
      <c r="AE355" t="str">
        <f>IF(LISTADO_NOM!AK355="","",VLOOKUP(LISTADO_NOM!AK355,SEGUIMIENTOS,2,FALSE))</f>
        <v/>
      </c>
    </row>
    <row r="356" spans="26:31" x14ac:dyDescent="0.25">
      <c r="Z356" s="88" t="str">
        <f>IF(LISTADO_NOM!K356="","",DATE(LISTADO_NOM!M356,LISTADO_NOM!L356,LISTADO_NOM!K356))</f>
        <v/>
      </c>
      <c r="AA356" s="88" t="str">
        <f>IFERROR(INDEX($Z$14:$Z$300, MATCH(0, INDEX(COUNTIF($AA$13:AA355, $Z$14:$Z$300), 0, 0), 0)), "")</f>
        <v/>
      </c>
      <c r="AB356" s="88" t="str">
        <f t="shared" si="5"/>
        <v/>
      </c>
      <c r="AC356">
        <v>343</v>
      </c>
      <c r="AE356" t="str">
        <f>IF(LISTADO_NOM!AK356="","",VLOOKUP(LISTADO_NOM!AK356,SEGUIMIENTOS,2,FALSE))</f>
        <v/>
      </c>
    </row>
    <row r="357" spans="26:31" x14ac:dyDescent="0.25">
      <c r="Z357" s="88" t="str">
        <f>IF(LISTADO_NOM!K357="","",DATE(LISTADO_NOM!M357,LISTADO_NOM!L357,LISTADO_NOM!K357))</f>
        <v/>
      </c>
      <c r="AA357" s="88" t="str">
        <f>IFERROR(INDEX($Z$14:$Z$300, MATCH(0, INDEX(COUNTIF($AA$13:AA356, $Z$14:$Z$300), 0, 0), 0)), "")</f>
        <v/>
      </c>
      <c r="AB357" s="88" t="str">
        <f t="shared" si="5"/>
        <v/>
      </c>
      <c r="AC357">
        <v>344</v>
      </c>
      <c r="AE357" t="str">
        <f>IF(LISTADO_NOM!AK357="","",VLOOKUP(LISTADO_NOM!AK357,SEGUIMIENTOS,2,FALSE))</f>
        <v/>
      </c>
    </row>
    <row r="358" spans="26:31" x14ac:dyDescent="0.25">
      <c r="Z358" s="88" t="str">
        <f>IF(LISTADO_NOM!K358="","",DATE(LISTADO_NOM!M358,LISTADO_NOM!L358,LISTADO_NOM!K358))</f>
        <v/>
      </c>
      <c r="AA358" s="88" t="str">
        <f>IFERROR(INDEX($Z$14:$Z$300, MATCH(0, INDEX(COUNTIF($AA$13:AA357, $Z$14:$Z$300), 0, 0), 0)), "")</f>
        <v/>
      </c>
      <c r="AB358" s="88" t="str">
        <f t="shared" si="5"/>
        <v/>
      </c>
      <c r="AC358">
        <v>345</v>
      </c>
      <c r="AE358" t="str">
        <f>IF(LISTADO_NOM!AK358="","",VLOOKUP(LISTADO_NOM!AK358,SEGUIMIENTOS,2,FALSE))</f>
        <v/>
      </c>
    </row>
    <row r="359" spans="26:31" x14ac:dyDescent="0.25">
      <c r="Z359" s="88" t="str">
        <f>IF(LISTADO_NOM!K359="","",DATE(LISTADO_NOM!M359,LISTADO_NOM!L359,LISTADO_NOM!K359))</f>
        <v/>
      </c>
      <c r="AA359" s="88" t="str">
        <f>IFERROR(INDEX($Z$14:$Z$300, MATCH(0, INDEX(COUNTIF($AA$13:AA358, $Z$14:$Z$300), 0, 0), 0)), "")</f>
        <v/>
      </c>
      <c r="AB359" s="88" t="str">
        <f t="shared" si="5"/>
        <v/>
      </c>
      <c r="AC359">
        <v>346</v>
      </c>
      <c r="AE359" t="str">
        <f>IF(LISTADO_NOM!AK359="","",VLOOKUP(LISTADO_NOM!AK359,SEGUIMIENTOS,2,FALSE))</f>
        <v/>
      </c>
    </row>
    <row r="360" spans="26:31" x14ac:dyDescent="0.25">
      <c r="Z360" s="88" t="str">
        <f>IF(LISTADO_NOM!K360="","",DATE(LISTADO_NOM!M360,LISTADO_NOM!L360,LISTADO_NOM!K360))</f>
        <v/>
      </c>
      <c r="AA360" s="88" t="str">
        <f>IFERROR(INDEX($Z$14:$Z$300, MATCH(0, INDEX(COUNTIF($AA$13:AA359, $Z$14:$Z$300), 0, 0), 0)), "")</f>
        <v/>
      </c>
      <c r="AB360" s="88" t="str">
        <f t="shared" si="5"/>
        <v/>
      </c>
      <c r="AC360">
        <v>347</v>
      </c>
      <c r="AE360" t="str">
        <f>IF(LISTADO_NOM!AK360="","",VLOOKUP(LISTADO_NOM!AK360,SEGUIMIENTOS,2,FALSE))</f>
        <v/>
      </c>
    </row>
    <row r="361" spans="26:31" x14ac:dyDescent="0.25">
      <c r="Z361" s="88" t="str">
        <f>IF(LISTADO_NOM!K361="","",DATE(LISTADO_NOM!M361,LISTADO_NOM!L361,LISTADO_NOM!K361))</f>
        <v/>
      </c>
      <c r="AA361" s="88" t="str">
        <f>IFERROR(INDEX($Z$14:$Z$300, MATCH(0, INDEX(COUNTIF($AA$13:AA360, $Z$14:$Z$300), 0, 0), 0)), "")</f>
        <v/>
      </c>
      <c r="AB361" s="88" t="str">
        <f t="shared" si="5"/>
        <v/>
      </c>
      <c r="AC361">
        <v>348</v>
      </c>
      <c r="AE361" t="str">
        <f>IF(LISTADO_NOM!AK361="","",VLOOKUP(LISTADO_NOM!AK361,SEGUIMIENTOS,2,FALSE))</f>
        <v/>
      </c>
    </row>
    <row r="362" spans="26:31" x14ac:dyDescent="0.25">
      <c r="Z362" s="88" t="str">
        <f>IF(LISTADO_NOM!K362="","",DATE(LISTADO_NOM!M362,LISTADO_NOM!L362,LISTADO_NOM!K362))</f>
        <v/>
      </c>
      <c r="AA362" s="88" t="str">
        <f>IFERROR(INDEX($Z$14:$Z$300, MATCH(0, INDEX(COUNTIF($AA$13:AA361, $Z$14:$Z$300), 0, 0), 0)), "")</f>
        <v/>
      </c>
      <c r="AB362" s="88" t="str">
        <f t="shared" si="5"/>
        <v/>
      </c>
      <c r="AC362">
        <v>349</v>
      </c>
      <c r="AE362" t="str">
        <f>IF(LISTADO_NOM!AK362="","",VLOOKUP(LISTADO_NOM!AK362,SEGUIMIENTOS,2,FALSE))</f>
        <v/>
      </c>
    </row>
    <row r="363" spans="26:31" x14ac:dyDescent="0.25">
      <c r="Z363" s="88" t="str">
        <f>IF(LISTADO_NOM!K363="","",DATE(LISTADO_NOM!M363,LISTADO_NOM!L363,LISTADO_NOM!K363))</f>
        <v/>
      </c>
      <c r="AA363" s="88" t="str">
        <f>IFERROR(INDEX($Z$14:$Z$300, MATCH(0, INDEX(COUNTIF($AA$13:AA362, $Z$14:$Z$300), 0, 0), 0)), "")</f>
        <v/>
      </c>
      <c r="AB363" s="88" t="str">
        <f t="shared" si="5"/>
        <v/>
      </c>
      <c r="AC363">
        <v>350</v>
      </c>
      <c r="AE363" t="str">
        <f>IF(LISTADO_NOM!AK363="","",VLOOKUP(LISTADO_NOM!AK363,SEGUIMIENTOS,2,FALSE))</f>
        <v/>
      </c>
    </row>
    <row r="364" spans="26:31" x14ac:dyDescent="0.25">
      <c r="Z364" s="88" t="str">
        <f>IF(LISTADO_NOM!K364="","",DATE(LISTADO_NOM!M364,LISTADO_NOM!L364,LISTADO_NOM!K364))</f>
        <v/>
      </c>
      <c r="AA364" s="88" t="str">
        <f>IFERROR(INDEX($Z$14:$Z$300, MATCH(0, INDEX(COUNTIF($AA$13:AA363, $Z$14:$Z$300), 0, 0), 0)), "")</f>
        <v/>
      </c>
      <c r="AB364" s="88" t="str">
        <f t="shared" si="5"/>
        <v/>
      </c>
      <c r="AC364">
        <v>351</v>
      </c>
      <c r="AE364" t="str">
        <f>IF(LISTADO_NOM!AK364="","",VLOOKUP(LISTADO_NOM!AK364,SEGUIMIENTOS,2,FALSE))</f>
        <v/>
      </c>
    </row>
    <row r="365" spans="26:31" x14ac:dyDescent="0.25">
      <c r="Z365" s="88" t="str">
        <f>IF(LISTADO_NOM!K365="","",DATE(LISTADO_NOM!M365,LISTADO_NOM!L365,LISTADO_NOM!K365))</f>
        <v/>
      </c>
      <c r="AA365" s="88" t="str">
        <f>IFERROR(INDEX($Z$14:$Z$300, MATCH(0, INDEX(COUNTIF($AA$13:AA364, $Z$14:$Z$300), 0, 0), 0)), "")</f>
        <v/>
      </c>
      <c r="AB365" s="88" t="str">
        <f t="shared" si="5"/>
        <v/>
      </c>
      <c r="AC365">
        <v>352</v>
      </c>
      <c r="AE365" t="str">
        <f>IF(LISTADO_NOM!AK365="","",VLOOKUP(LISTADO_NOM!AK365,SEGUIMIENTOS,2,FALSE))</f>
        <v/>
      </c>
    </row>
    <row r="366" spans="26:31" x14ac:dyDescent="0.25">
      <c r="Z366" s="88" t="str">
        <f>IF(LISTADO_NOM!K366="","",DATE(LISTADO_NOM!M366,LISTADO_NOM!L366,LISTADO_NOM!K366))</f>
        <v/>
      </c>
      <c r="AA366" s="88" t="str">
        <f>IFERROR(INDEX($Z$14:$Z$300, MATCH(0, INDEX(COUNTIF($AA$13:AA365, $Z$14:$Z$300), 0, 0), 0)), "")</f>
        <v/>
      </c>
      <c r="AB366" s="88" t="str">
        <f t="shared" si="5"/>
        <v/>
      </c>
      <c r="AC366">
        <v>353</v>
      </c>
      <c r="AE366" t="str">
        <f>IF(LISTADO_NOM!AK366="","",VLOOKUP(LISTADO_NOM!AK366,SEGUIMIENTOS,2,FALSE))</f>
        <v/>
      </c>
    </row>
    <row r="367" spans="26:31" x14ac:dyDescent="0.25">
      <c r="Z367" s="88" t="str">
        <f>IF(LISTADO_NOM!K367="","",DATE(LISTADO_NOM!M367,LISTADO_NOM!L367,LISTADO_NOM!K367))</f>
        <v/>
      </c>
      <c r="AA367" s="88" t="str">
        <f>IFERROR(INDEX($Z$14:$Z$300, MATCH(0, INDEX(COUNTIF($AA$13:AA366, $Z$14:$Z$300), 0, 0), 0)), "")</f>
        <v/>
      </c>
      <c r="AB367" s="88" t="str">
        <f t="shared" si="5"/>
        <v/>
      </c>
      <c r="AC367">
        <v>354</v>
      </c>
      <c r="AE367" t="str">
        <f>IF(LISTADO_NOM!AK367="","",VLOOKUP(LISTADO_NOM!AK367,SEGUIMIENTOS,2,FALSE))</f>
        <v/>
      </c>
    </row>
    <row r="368" spans="26:31" x14ac:dyDescent="0.25">
      <c r="Z368" s="88" t="str">
        <f>IF(LISTADO_NOM!K368="","",DATE(LISTADO_NOM!M368,LISTADO_NOM!L368,LISTADO_NOM!K368))</f>
        <v/>
      </c>
      <c r="AA368" s="88" t="str">
        <f>IFERROR(INDEX($Z$14:$Z$300, MATCH(0, INDEX(COUNTIF($AA$13:AA367, $Z$14:$Z$300), 0, 0), 0)), "")</f>
        <v/>
      </c>
      <c r="AB368" s="88" t="str">
        <f t="shared" si="5"/>
        <v/>
      </c>
      <c r="AC368">
        <v>355</v>
      </c>
      <c r="AE368" t="str">
        <f>IF(LISTADO_NOM!AK368="","",VLOOKUP(LISTADO_NOM!AK368,SEGUIMIENTOS,2,FALSE))</f>
        <v/>
      </c>
    </row>
    <row r="369" spans="26:31" x14ac:dyDescent="0.25">
      <c r="Z369" s="88" t="str">
        <f>IF(LISTADO_NOM!K369="","",DATE(LISTADO_NOM!M369,LISTADO_NOM!L369,LISTADO_NOM!K369))</f>
        <v/>
      </c>
      <c r="AA369" s="88" t="str">
        <f>IFERROR(INDEX($Z$14:$Z$300, MATCH(0, INDEX(COUNTIF($AA$13:AA368, $Z$14:$Z$300), 0, 0), 0)), "")</f>
        <v/>
      </c>
      <c r="AB369" s="88" t="str">
        <f t="shared" si="5"/>
        <v/>
      </c>
      <c r="AC369">
        <v>356</v>
      </c>
      <c r="AE369" t="str">
        <f>IF(LISTADO_NOM!AK369="","",VLOOKUP(LISTADO_NOM!AK369,SEGUIMIENTOS,2,FALSE))</f>
        <v/>
      </c>
    </row>
    <row r="370" spans="26:31" x14ac:dyDescent="0.25">
      <c r="Z370" s="88" t="str">
        <f>IF(LISTADO_NOM!K370="","",DATE(LISTADO_NOM!M370,LISTADO_NOM!L370,LISTADO_NOM!K370))</f>
        <v/>
      </c>
      <c r="AA370" s="88" t="str">
        <f>IFERROR(INDEX($Z$14:$Z$300, MATCH(0, INDEX(COUNTIF($AA$13:AA369, $Z$14:$Z$300), 0, 0), 0)), "")</f>
        <v/>
      </c>
      <c r="AB370" s="88" t="str">
        <f t="shared" si="5"/>
        <v/>
      </c>
      <c r="AC370">
        <v>357</v>
      </c>
      <c r="AE370" t="str">
        <f>IF(LISTADO_NOM!AK370="","",VLOOKUP(LISTADO_NOM!AK370,SEGUIMIENTOS,2,FALSE))</f>
        <v/>
      </c>
    </row>
    <row r="371" spans="26:31" x14ac:dyDescent="0.25">
      <c r="Z371" s="88" t="str">
        <f>IF(LISTADO_NOM!K371="","",DATE(LISTADO_NOM!M371,LISTADO_NOM!L371,LISTADO_NOM!K371))</f>
        <v/>
      </c>
      <c r="AA371" s="88" t="str">
        <f>IFERROR(INDEX($Z$14:$Z$300, MATCH(0, INDEX(COUNTIF($AA$13:AA370, $Z$14:$Z$300), 0, 0), 0)), "")</f>
        <v/>
      </c>
      <c r="AB371" s="88" t="str">
        <f t="shared" si="5"/>
        <v/>
      </c>
      <c r="AC371">
        <v>358</v>
      </c>
      <c r="AE371" t="str">
        <f>IF(LISTADO_NOM!AK371="","",VLOOKUP(LISTADO_NOM!AK371,SEGUIMIENTOS,2,FALSE))</f>
        <v/>
      </c>
    </row>
    <row r="372" spans="26:31" x14ac:dyDescent="0.25">
      <c r="Z372" s="88" t="str">
        <f>IF(LISTADO_NOM!K372="","",DATE(LISTADO_NOM!M372,LISTADO_NOM!L372,LISTADO_NOM!K372))</f>
        <v/>
      </c>
      <c r="AA372" s="88" t="str">
        <f>IFERROR(INDEX($Z$14:$Z$300, MATCH(0, INDEX(COUNTIF($AA$13:AA371, $Z$14:$Z$300), 0, 0), 0)), "")</f>
        <v/>
      </c>
      <c r="AB372" s="88" t="str">
        <f t="shared" si="5"/>
        <v/>
      </c>
      <c r="AC372">
        <v>359</v>
      </c>
      <c r="AE372" t="str">
        <f>IF(LISTADO_NOM!AK372="","",VLOOKUP(LISTADO_NOM!AK372,SEGUIMIENTOS,2,FALSE))</f>
        <v/>
      </c>
    </row>
    <row r="373" spans="26:31" x14ac:dyDescent="0.25">
      <c r="Z373" s="88" t="str">
        <f>IF(LISTADO_NOM!K373="","",DATE(LISTADO_NOM!M373,LISTADO_NOM!L373,LISTADO_NOM!K373))</f>
        <v/>
      </c>
      <c r="AA373" s="88" t="str">
        <f>IFERROR(INDEX($Z$14:$Z$300, MATCH(0, INDEX(COUNTIF($AA$13:AA372, $Z$14:$Z$300), 0, 0), 0)), "")</f>
        <v/>
      </c>
      <c r="AB373" s="88" t="str">
        <f t="shared" si="5"/>
        <v/>
      </c>
      <c r="AC373">
        <v>360</v>
      </c>
      <c r="AE373" t="str">
        <f>IF(LISTADO_NOM!AK373="","",VLOOKUP(LISTADO_NOM!AK373,SEGUIMIENTOS,2,FALSE))</f>
        <v/>
      </c>
    </row>
    <row r="374" spans="26:31" x14ac:dyDescent="0.25">
      <c r="Z374" s="88" t="str">
        <f>IF(LISTADO_NOM!K374="","",DATE(LISTADO_NOM!M374,LISTADO_NOM!L374,LISTADO_NOM!K374))</f>
        <v/>
      </c>
      <c r="AA374" s="88" t="str">
        <f>IFERROR(INDEX($Z$14:$Z$300, MATCH(0, INDEX(COUNTIF($AA$13:AA373, $Z$14:$Z$300), 0, 0), 0)), "")</f>
        <v/>
      </c>
      <c r="AB374" s="88" t="str">
        <f t="shared" si="5"/>
        <v/>
      </c>
      <c r="AC374">
        <v>361</v>
      </c>
      <c r="AE374" t="str">
        <f>IF(LISTADO_NOM!AK374="","",VLOOKUP(LISTADO_NOM!AK374,SEGUIMIENTOS,2,FALSE))</f>
        <v/>
      </c>
    </row>
    <row r="375" spans="26:31" x14ac:dyDescent="0.25">
      <c r="Z375" s="88" t="str">
        <f>IF(LISTADO_NOM!K375="","",DATE(LISTADO_NOM!M375,LISTADO_NOM!L375,LISTADO_NOM!K375))</f>
        <v/>
      </c>
      <c r="AA375" s="88" t="str">
        <f>IFERROR(INDEX($Z$14:$Z$300, MATCH(0, INDEX(COUNTIF($AA$13:AA374, $Z$14:$Z$300), 0, 0), 0)), "")</f>
        <v/>
      </c>
      <c r="AB375" s="88" t="str">
        <f t="shared" si="5"/>
        <v/>
      </c>
      <c r="AC375">
        <v>362</v>
      </c>
      <c r="AE375" t="str">
        <f>IF(LISTADO_NOM!AK375="","",VLOOKUP(LISTADO_NOM!AK375,SEGUIMIENTOS,2,FALSE))</f>
        <v/>
      </c>
    </row>
    <row r="376" spans="26:31" x14ac:dyDescent="0.25">
      <c r="Z376" s="88" t="str">
        <f>IF(LISTADO_NOM!K376="","",DATE(LISTADO_NOM!M376,LISTADO_NOM!L376,LISTADO_NOM!K376))</f>
        <v/>
      </c>
      <c r="AA376" s="88" t="str">
        <f>IFERROR(INDEX($Z$14:$Z$300, MATCH(0, INDEX(COUNTIF($AA$13:AA375, $Z$14:$Z$300), 0, 0), 0)), "")</f>
        <v/>
      </c>
      <c r="AB376" s="88" t="str">
        <f t="shared" si="5"/>
        <v/>
      </c>
      <c r="AC376">
        <v>363</v>
      </c>
      <c r="AE376" t="str">
        <f>IF(LISTADO_NOM!AK376="","",VLOOKUP(LISTADO_NOM!AK376,SEGUIMIENTOS,2,FALSE))</f>
        <v/>
      </c>
    </row>
    <row r="377" spans="26:31" x14ac:dyDescent="0.25">
      <c r="Z377" s="88" t="str">
        <f>IF(LISTADO_NOM!K377="","",DATE(LISTADO_NOM!M377,LISTADO_NOM!L377,LISTADO_NOM!K377))</f>
        <v/>
      </c>
      <c r="AA377" s="88" t="str">
        <f>IFERROR(INDEX($Z$14:$Z$300, MATCH(0, INDEX(COUNTIF($AA$13:AA376, $Z$14:$Z$300), 0, 0), 0)), "")</f>
        <v/>
      </c>
      <c r="AB377" s="88" t="str">
        <f t="shared" si="5"/>
        <v/>
      </c>
      <c r="AC377">
        <v>364</v>
      </c>
      <c r="AE377" t="str">
        <f>IF(LISTADO_NOM!AK377="","",VLOOKUP(LISTADO_NOM!AK377,SEGUIMIENTOS,2,FALSE))</f>
        <v/>
      </c>
    </row>
    <row r="378" spans="26:31" x14ac:dyDescent="0.25">
      <c r="Z378" s="88" t="str">
        <f>IF(LISTADO_NOM!K378="","",DATE(LISTADO_NOM!M378,LISTADO_NOM!L378,LISTADO_NOM!K378))</f>
        <v/>
      </c>
      <c r="AA378" s="88" t="str">
        <f>IFERROR(INDEX($Z$14:$Z$300, MATCH(0, INDEX(COUNTIF($AA$13:AA377, $Z$14:$Z$300), 0, 0), 0)), "")</f>
        <v/>
      </c>
      <c r="AB378" s="88" t="str">
        <f t="shared" si="5"/>
        <v/>
      </c>
      <c r="AC378">
        <v>365</v>
      </c>
      <c r="AE378" t="str">
        <f>IF(LISTADO_NOM!AK378="","",VLOOKUP(LISTADO_NOM!AK378,SEGUIMIENTOS,2,FALSE))</f>
        <v/>
      </c>
    </row>
    <row r="379" spans="26:31" x14ac:dyDescent="0.25">
      <c r="Z379" s="88" t="str">
        <f>IF(LISTADO_NOM!K379="","",DATE(LISTADO_NOM!M379,LISTADO_NOM!L379,LISTADO_NOM!K379))</f>
        <v/>
      </c>
      <c r="AA379" s="88" t="str">
        <f>IFERROR(INDEX($Z$14:$Z$300, MATCH(0, INDEX(COUNTIF($AA$13:AA378, $Z$14:$Z$300), 0, 0), 0)), "")</f>
        <v/>
      </c>
      <c r="AB379" s="88" t="str">
        <f t="shared" si="5"/>
        <v/>
      </c>
      <c r="AC379">
        <v>366</v>
      </c>
      <c r="AE379" t="str">
        <f>IF(LISTADO_NOM!AK379="","",VLOOKUP(LISTADO_NOM!AK379,SEGUIMIENTOS,2,FALSE))</f>
        <v/>
      </c>
    </row>
    <row r="380" spans="26:31" x14ac:dyDescent="0.25">
      <c r="Z380" s="88" t="str">
        <f>IF(LISTADO_NOM!K380="","",DATE(LISTADO_NOM!M380,LISTADO_NOM!L380,LISTADO_NOM!K380))</f>
        <v/>
      </c>
      <c r="AA380" s="88" t="str">
        <f>IFERROR(INDEX($Z$14:$Z$300, MATCH(0, INDEX(COUNTIF($AA$13:AA379, $Z$14:$Z$300), 0, 0), 0)), "")</f>
        <v/>
      </c>
      <c r="AB380" s="88" t="str">
        <f t="shared" si="5"/>
        <v/>
      </c>
      <c r="AC380">
        <v>367</v>
      </c>
      <c r="AE380" t="str">
        <f>IF(LISTADO_NOM!AK380="","",VLOOKUP(LISTADO_NOM!AK380,SEGUIMIENTOS,2,FALSE))</f>
        <v/>
      </c>
    </row>
    <row r="381" spans="26:31" x14ac:dyDescent="0.25">
      <c r="Z381" s="88" t="str">
        <f>IF(LISTADO_NOM!K381="","",DATE(LISTADO_NOM!M381,LISTADO_NOM!L381,LISTADO_NOM!K381))</f>
        <v/>
      </c>
      <c r="AA381" s="88" t="str">
        <f>IFERROR(INDEX($Z$14:$Z$300, MATCH(0, INDEX(COUNTIF($AA$13:AA380, $Z$14:$Z$300), 0, 0), 0)), "")</f>
        <v/>
      </c>
      <c r="AB381" s="88" t="str">
        <f t="shared" si="5"/>
        <v/>
      </c>
      <c r="AC381">
        <v>368</v>
      </c>
      <c r="AE381" t="str">
        <f>IF(LISTADO_NOM!AK381="","",VLOOKUP(LISTADO_NOM!AK381,SEGUIMIENTOS,2,FALSE))</f>
        <v/>
      </c>
    </row>
    <row r="382" spans="26:31" x14ac:dyDescent="0.25">
      <c r="Z382" s="88" t="str">
        <f>IF(LISTADO_NOM!K382="","",DATE(LISTADO_NOM!M382,LISTADO_NOM!L382,LISTADO_NOM!K382))</f>
        <v/>
      </c>
      <c r="AA382" s="88" t="str">
        <f>IFERROR(INDEX($Z$14:$Z$300, MATCH(0, INDEX(COUNTIF($AA$13:AA381, $Z$14:$Z$300), 0, 0), 0)), "")</f>
        <v/>
      </c>
      <c r="AB382" s="88" t="str">
        <f t="shared" si="5"/>
        <v/>
      </c>
      <c r="AC382">
        <v>369</v>
      </c>
      <c r="AE382" t="str">
        <f>IF(LISTADO_NOM!AK382="","",VLOOKUP(LISTADO_NOM!AK382,SEGUIMIENTOS,2,FALSE))</f>
        <v/>
      </c>
    </row>
    <row r="383" spans="26:31" x14ac:dyDescent="0.25">
      <c r="Z383" s="88" t="str">
        <f>IF(LISTADO_NOM!K383="","",DATE(LISTADO_NOM!M383,LISTADO_NOM!L383,LISTADO_NOM!K383))</f>
        <v/>
      </c>
      <c r="AA383" s="88" t="str">
        <f>IFERROR(INDEX($Z$14:$Z$300, MATCH(0, INDEX(COUNTIF($AA$13:AA382, $Z$14:$Z$300), 0, 0), 0)), "")</f>
        <v/>
      </c>
      <c r="AB383" s="88" t="str">
        <f t="shared" si="5"/>
        <v/>
      </c>
      <c r="AC383">
        <v>370</v>
      </c>
      <c r="AE383" t="str">
        <f>IF(LISTADO_NOM!AK383="","",VLOOKUP(LISTADO_NOM!AK383,SEGUIMIENTOS,2,FALSE))</f>
        <v/>
      </c>
    </row>
    <row r="384" spans="26:31" x14ac:dyDescent="0.25">
      <c r="Z384" s="88" t="str">
        <f>IF(LISTADO_NOM!K384="","",DATE(LISTADO_NOM!M384,LISTADO_NOM!L384,LISTADO_NOM!K384))</f>
        <v/>
      </c>
      <c r="AA384" s="88" t="str">
        <f>IFERROR(INDEX($Z$14:$Z$300, MATCH(0, INDEX(COUNTIF($AA$13:AA383, $Z$14:$Z$300), 0, 0), 0)), "")</f>
        <v/>
      </c>
      <c r="AB384" s="88" t="str">
        <f t="shared" si="5"/>
        <v/>
      </c>
      <c r="AC384">
        <v>371</v>
      </c>
      <c r="AE384" t="str">
        <f>IF(LISTADO_NOM!AK384="","",VLOOKUP(LISTADO_NOM!AK384,SEGUIMIENTOS,2,FALSE))</f>
        <v/>
      </c>
    </row>
    <row r="385" spans="26:31" x14ac:dyDescent="0.25">
      <c r="Z385" s="88" t="str">
        <f>IF(LISTADO_NOM!K385="","",DATE(LISTADO_NOM!M385,LISTADO_NOM!L385,LISTADO_NOM!K385))</f>
        <v/>
      </c>
      <c r="AA385" s="88" t="str">
        <f>IFERROR(INDEX($Z$14:$Z$300, MATCH(0, INDEX(COUNTIF($AA$13:AA384, $Z$14:$Z$300), 0, 0), 0)), "")</f>
        <v/>
      </c>
      <c r="AB385" s="88" t="str">
        <f t="shared" si="5"/>
        <v/>
      </c>
      <c r="AC385">
        <v>372</v>
      </c>
      <c r="AE385" t="str">
        <f>IF(LISTADO_NOM!AK385="","",VLOOKUP(LISTADO_NOM!AK385,SEGUIMIENTOS,2,FALSE))</f>
        <v/>
      </c>
    </row>
    <row r="386" spans="26:31" x14ac:dyDescent="0.25">
      <c r="Z386" s="88" t="str">
        <f>IF(LISTADO_NOM!K386="","",DATE(LISTADO_NOM!M386,LISTADO_NOM!L386,LISTADO_NOM!K386))</f>
        <v/>
      </c>
      <c r="AA386" s="88" t="str">
        <f>IFERROR(INDEX($Z$14:$Z$300, MATCH(0, INDEX(COUNTIF($AA$13:AA385, $Z$14:$Z$300), 0, 0), 0)), "")</f>
        <v/>
      </c>
      <c r="AB386" s="88" t="str">
        <f t="shared" si="5"/>
        <v/>
      </c>
      <c r="AC386">
        <v>373</v>
      </c>
      <c r="AE386" t="str">
        <f>IF(LISTADO_NOM!AK386="","",VLOOKUP(LISTADO_NOM!AK386,SEGUIMIENTOS,2,FALSE))</f>
        <v/>
      </c>
    </row>
    <row r="387" spans="26:31" x14ac:dyDescent="0.25">
      <c r="Z387" s="88" t="str">
        <f>IF(LISTADO_NOM!K387="","",DATE(LISTADO_NOM!M387,LISTADO_NOM!L387,LISTADO_NOM!K387))</f>
        <v/>
      </c>
      <c r="AA387" s="88" t="str">
        <f>IFERROR(INDEX($Z$14:$Z$300, MATCH(0, INDEX(COUNTIF($AA$13:AA386, $Z$14:$Z$300), 0, 0), 0)), "")</f>
        <v/>
      </c>
      <c r="AB387" s="88" t="str">
        <f t="shared" si="5"/>
        <v/>
      </c>
      <c r="AC387">
        <v>374</v>
      </c>
      <c r="AE387" t="str">
        <f>IF(LISTADO_NOM!AK387="","",VLOOKUP(LISTADO_NOM!AK387,SEGUIMIENTOS,2,FALSE))</f>
        <v/>
      </c>
    </row>
    <row r="388" spans="26:31" x14ac:dyDescent="0.25">
      <c r="Z388" s="88" t="str">
        <f>IF(LISTADO_NOM!K388="","",DATE(LISTADO_NOM!M388,LISTADO_NOM!L388,LISTADO_NOM!K388))</f>
        <v/>
      </c>
      <c r="AA388" s="88" t="str">
        <f>IFERROR(INDEX($Z$14:$Z$300, MATCH(0, INDEX(COUNTIF($AA$13:AA387, $Z$14:$Z$300), 0, 0), 0)), "")</f>
        <v/>
      </c>
      <c r="AB388" s="88" t="str">
        <f t="shared" si="5"/>
        <v/>
      </c>
      <c r="AC388">
        <v>375</v>
      </c>
      <c r="AE388" t="str">
        <f>IF(LISTADO_NOM!AK388="","",VLOOKUP(LISTADO_NOM!AK388,SEGUIMIENTOS,2,FALSE))</f>
        <v/>
      </c>
    </row>
    <row r="389" spans="26:31" x14ac:dyDescent="0.25">
      <c r="Z389" s="88" t="str">
        <f>IF(LISTADO_NOM!K389="","",DATE(LISTADO_NOM!M389,LISTADO_NOM!L389,LISTADO_NOM!K389))</f>
        <v/>
      </c>
      <c r="AA389" s="88" t="str">
        <f>IFERROR(INDEX($Z$14:$Z$300, MATCH(0, INDEX(COUNTIF($AA$13:AA388, $Z$14:$Z$300), 0, 0), 0)), "")</f>
        <v/>
      </c>
      <c r="AB389" s="88" t="str">
        <f t="shared" si="5"/>
        <v/>
      </c>
      <c r="AC389">
        <v>376</v>
      </c>
      <c r="AE389" t="str">
        <f>IF(LISTADO_NOM!AK389="","",VLOOKUP(LISTADO_NOM!AK389,SEGUIMIENTOS,2,FALSE))</f>
        <v/>
      </c>
    </row>
    <row r="390" spans="26:31" x14ac:dyDescent="0.25">
      <c r="Z390" s="88" t="str">
        <f>IF(LISTADO_NOM!K390="","",DATE(LISTADO_NOM!M390,LISTADO_NOM!L390,LISTADO_NOM!K390))</f>
        <v/>
      </c>
      <c r="AA390" s="88" t="str">
        <f>IFERROR(INDEX($Z$14:$Z$300, MATCH(0, INDEX(COUNTIF($AA$13:AA389, $Z$14:$Z$300), 0, 0), 0)), "")</f>
        <v/>
      </c>
      <c r="AB390" s="88" t="str">
        <f t="shared" si="5"/>
        <v/>
      </c>
      <c r="AC390">
        <v>377</v>
      </c>
      <c r="AE390" t="str">
        <f>IF(LISTADO_NOM!AK390="","",VLOOKUP(LISTADO_NOM!AK390,SEGUIMIENTOS,2,FALSE))</f>
        <v/>
      </c>
    </row>
    <row r="391" spans="26:31" x14ac:dyDescent="0.25">
      <c r="Z391" s="88" t="str">
        <f>IF(LISTADO_NOM!K391="","",DATE(LISTADO_NOM!M391,LISTADO_NOM!L391,LISTADO_NOM!K391))</f>
        <v/>
      </c>
      <c r="AA391" s="88" t="str">
        <f>IFERROR(INDEX($Z$14:$Z$300, MATCH(0, INDEX(COUNTIF($AA$13:AA390, $Z$14:$Z$300), 0, 0), 0)), "")</f>
        <v/>
      </c>
      <c r="AB391" s="88" t="str">
        <f t="shared" si="5"/>
        <v/>
      </c>
      <c r="AC391">
        <v>378</v>
      </c>
      <c r="AE391" t="str">
        <f>IF(LISTADO_NOM!AK391="","",VLOOKUP(LISTADO_NOM!AK391,SEGUIMIENTOS,2,FALSE))</f>
        <v/>
      </c>
    </row>
    <row r="392" spans="26:31" x14ac:dyDescent="0.25">
      <c r="Z392" s="88" t="str">
        <f>IF(LISTADO_NOM!K392="","",DATE(LISTADO_NOM!M392,LISTADO_NOM!L392,LISTADO_NOM!K392))</f>
        <v/>
      </c>
      <c r="AA392" s="88" t="str">
        <f>IFERROR(INDEX($Z$14:$Z$300, MATCH(0, INDEX(COUNTIF($AA$13:AA391, $Z$14:$Z$300), 0, 0), 0)), "")</f>
        <v/>
      </c>
      <c r="AB392" s="88" t="str">
        <f t="shared" si="5"/>
        <v/>
      </c>
      <c r="AC392">
        <v>379</v>
      </c>
      <c r="AE392" t="str">
        <f>IF(LISTADO_NOM!AK392="","",VLOOKUP(LISTADO_NOM!AK392,SEGUIMIENTOS,2,FALSE))</f>
        <v/>
      </c>
    </row>
    <row r="393" spans="26:31" x14ac:dyDescent="0.25">
      <c r="Z393" s="88" t="str">
        <f>IF(LISTADO_NOM!K393="","",DATE(LISTADO_NOM!M393,LISTADO_NOM!L393,LISTADO_NOM!K393))</f>
        <v/>
      </c>
      <c r="AA393" s="88" t="str">
        <f>IFERROR(INDEX($Z$14:$Z$300, MATCH(0, INDEX(COUNTIF($AA$13:AA392, $Z$14:$Z$300), 0, 0), 0)), "")</f>
        <v/>
      </c>
      <c r="AB393" s="88" t="str">
        <f t="shared" si="5"/>
        <v/>
      </c>
      <c r="AC393">
        <v>380</v>
      </c>
      <c r="AE393" t="str">
        <f>IF(LISTADO_NOM!AK393="","",VLOOKUP(LISTADO_NOM!AK393,SEGUIMIENTOS,2,FALSE))</f>
        <v/>
      </c>
    </row>
    <row r="394" spans="26:31" x14ac:dyDescent="0.25">
      <c r="Z394" s="88" t="str">
        <f>IF(LISTADO_NOM!K394="","",DATE(LISTADO_NOM!M394,LISTADO_NOM!L394,LISTADO_NOM!K394))</f>
        <v/>
      </c>
      <c r="AA394" s="88" t="str">
        <f>IFERROR(INDEX($Z$14:$Z$300, MATCH(0, INDEX(COUNTIF($AA$13:AA393, $Z$14:$Z$300), 0, 0), 0)), "")</f>
        <v/>
      </c>
      <c r="AB394" s="88" t="str">
        <f t="shared" si="5"/>
        <v/>
      </c>
      <c r="AC394">
        <v>381</v>
      </c>
      <c r="AE394" t="str">
        <f>IF(LISTADO_NOM!AK394="","",VLOOKUP(LISTADO_NOM!AK394,SEGUIMIENTOS,2,FALSE))</f>
        <v/>
      </c>
    </row>
    <row r="395" spans="26:31" x14ac:dyDescent="0.25">
      <c r="Z395" s="88" t="str">
        <f>IF(LISTADO_NOM!K395="","",DATE(LISTADO_NOM!M395,LISTADO_NOM!L395,LISTADO_NOM!K395))</f>
        <v/>
      </c>
      <c r="AA395" s="88" t="str">
        <f>IFERROR(INDEX($Z$14:$Z$300, MATCH(0, INDEX(COUNTIF($AA$13:AA394, $Z$14:$Z$300), 0, 0), 0)), "")</f>
        <v/>
      </c>
      <c r="AB395" s="88" t="str">
        <f t="shared" si="5"/>
        <v/>
      </c>
      <c r="AC395">
        <v>382</v>
      </c>
      <c r="AE395" t="str">
        <f>IF(LISTADO_NOM!AK395="","",VLOOKUP(LISTADO_NOM!AK395,SEGUIMIENTOS,2,FALSE))</f>
        <v/>
      </c>
    </row>
    <row r="396" spans="26:31" x14ac:dyDescent="0.25">
      <c r="Z396" s="88" t="str">
        <f>IF(LISTADO_NOM!K396="","",DATE(LISTADO_NOM!M396,LISTADO_NOM!L396,LISTADO_NOM!K396))</f>
        <v/>
      </c>
      <c r="AA396" s="88" t="str">
        <f>IFERROR(INDEX($Z$14:$Z$300, MATCH(0, INDEX(COUNTIF($AA$13:AA395, $Z$14:$Z$300), 0, 0), 0)), "")</f>
        <v/>
      </c>
      <c r="AB396" s="88" t="str">
        <f t="shared" si="5"/>
        <v/>
      </c>
      <c r="AC396">
        <v>383</v>
      </c>
      <c r="AE396" t="str">
        <f>IF(LISTADO_NOM!AK396="","",VLOOKUP(LISTADO_NOM!AK396,SEGUIMIENTOS,2,FALSE))</f>
        <v/>
      </c>
    </row>
    <row r="397" spans="26:31" x14ac:dyDescent="0.25">
      <c r="Z397" s="88" t="str">
        <f>IF(LISTADO_NOM!K397="","",DATE(LISTADO_NOM!M397,LISTADO_NOM!L397,LISTADO_NOM!K397))</f>
        <v/>
      </c>
      <c r="AA397" s="88" t="str">
        <f>IFERROR(INDEX($Z$14:$Z$300, MATCH(0, INDEX(COUNTIF($AA$13:AA396, $Z$14:$Z$300), 0, 0), 0)), "")</f>
        <v/>
      </c>
      <c r="AB397" s="88" t="str">
        <f t="shared" si="5"/>
        <v/>
      </c>
      <c r="AC397">
        <v>384</v>
      </c>
      <c r="AE397" t="str">
        <f>IF(LISTADO_NOM!AK397="","",VLOOKUP(LISTADO_NOM!AK397,SEGUIMIENTOS,2,FALSE))</f>
        <v/>
      </c>
    </row>
    <row r="398" spans="26:31" x14ac:dyDescent="0.25">
      <c r="Z398" s="88" t="str">
        <f>IF(LISTADO_NOM!K398="","",DATE(LISTADO_NOM!M398,LISTADO_NOM!L398,LISTADO_NOM!K398))</f>
        <v/>
      </c>
      <c r="AA398" s="88" t="str">
        <f>IFERROR(INDEX($Z$14:$Z$300, MATCH(0, INDEX(COUNTIF($AA$13:AA397, $Z$14:$Z$300), 0, 0), 0)), "")</f>
        <v/>
      </c>
      <c r="AB398" s="88" t="str">
        <f t="shared" ref="AB398:AB461" si="6">IF(AA398="","",SMALL(ORDENA_,AC398))</f>
        <v/>
      </c>
      <c r="AC398">
        <v>385</v>
      </c>
      <c r="AE398" t="str">
        <f>IF(LISTADO_NOM!AK398="","",VLOOKUP(LISTADO_NOM!AK398,SEGUIMIENTOS,2,FALSE))</f>
        <v/>
      </c>
    </row>
    <row r="399" spans="26:31" x14ac:dyDescent="0.25">
      <c r="Z399" s="88" t="str">
        <f>IF(LISTADO_NOM!K399="","",DATE(LISTADO_NOM!M399,LISTADO_NOM!L399,LISTADO_NOM!K399))</f>
        <v/>
      </c>
      <c r="AA399" s="88" t="str">
        <f>IFERROR(INDEX($Z$14:$Z$300, MATCH(0, INDEX(COUNTIF($AA$13:AA398, $Z$14:$Z$300), 0, 0), 0)), "")</f>
        <v/>
      </c>
      <c r="AB399" s="88" t="str">
        <f t="shared" si="6"/>
        <v/>
      </c>
      <c r="AC399">
        <v>386</v>
      </c>
      <c r="AE399" t="str">
        <f>IF(LISTADO_NOM!AK399="","",VLOOKUP(LISTADO_NOM!AK399,SEGUIMIENTOS,2,FALSE))</f>
        <v/>
      </c>
    </row>
    <row r="400" spans="26:31" x14ac:dyDescent="0.25">
      <c r="Z400" s="88" t="str">
        <f>IF(LISTADO_NOM!K400="","",DATE(LISTADO_NOM!M400,LISTADO_NOM!L400,LISTADO_NOM!K400))</f>
        <v/>
      </c>
      <c r="AA400" s="88" t="str">
        <f>IFERROR(INDEX($Z$14:$Z$300, MATCH(0, INDEX(COUNTIF($AA$13:AA399, $Z$14:$Z$300), 0, 0), 0)), "")</f>
        <v/>
      </c>
      <c r="AB400" s="88" t="str">
        <f t="shared" si="6"/>
        <v/>
      </c>
      <c r="AC400">
        <v>387</v>
      </c>
      <c r="AE400" t="str">
        <f>IF(LISTADO_NOM!AK400="","",VLOOKUP(LISTADO_NOM!AK400,SEGUIMIENTOS,2,FALSE))</f>
        <v/>
      </c>
    </row>
    <row r="401" spans="26:31" x14ac:dyDescent="0.25">
      <c r="Z401" s="88" t="str">
        <f>IF(LISTADO_NOM!K401="","",DATE(LISTADO_NOM!M401,LISTADO_NOM!L401,LISTADO_NOM!K401))</f>
        <v/>
      </c>
      <c r="AA401" s="88" t="str">
        <f>IFERROR(INDEX($Z$14:$Z$300, MATCH(0, INDEX(COUNTIF($AA$13:AA400, $Z$14:$Z$300), 0, 0), 0)), "")</f>
        <v/>
      </c>
      <c r="AB401" s="88" t="str">
        <f t="shared" si="6"/>
        <v/>
      </c>
      <c r="AC401">
        <v>388</v>
      </c>
      <c r="AE401" t="str">
        <f>IF(LISTADO_NOM!AK401="","",VLOOKUP(LISTADO_NOM!AK401,SEGUIMIENTOS,2,FALSE))</f>
        <v/>
      </c>
    </row>
    <row r="402" spans="26:31" x14ac:dyDescent="0.25">
      <c r="Z402" s="88" t="str">
        <f>IF(LISTADO_NOM!K402="","",DATE(LISTADO_NOM!M402,LISTADO_NOM!L402,LISTADO_NOM!K402))</f>
        <v/>
      </c>
      <c r="AA402" s="88" t="str">
        <f>IFERROR(INDEX($Z$14:$Z$300, MATCH(0, INDEX(COUNTIF($AA$13:AA401, $Z$14:$Z$300), 0, 0), 0)), "")</f>
        <v/>
      </c>
      <c r="AB402" s="88" t="str">
        <f t="shared" si="6"/>
        <v/>
      </c>
      <c r="AC402">
        <v>389</v>
      </c>
      <c r="AE402" t="str">
        <f>IF(LISTADO_NOM!AK402="","",VLOOKUP(LISTADO_NOM!AK402,SEGUIMIENTOS,2,FALSE))</f>
        <v/>
      </c>
    </row>
    <row r="403" spans="26:31" x14ac:dyDescent="0.25">
      <c r="Z403" s="88" t="str">
        <f>IF(LISTADO_NOM!K403="","",DATE(LISTADO_NOM!M403,LISTADO_NOM!L403,LISTADO_NOM!K403))</f>
        <v/>
      </c>
      <c r="AA403" s="88" t="str">
        <f>IFERROR(INDEX($Z$14:$Z$300, MATCH(0, INDEX(COUNTIF($AA$13:AA402, $Z$14:$Z$300), 0, 0), 0)), "")</f>
        <v/>
      </c>
      <c r="AB403" s="88" t="str">
        <f t="shared" si="6"/>
        <v/>
      </c>
      <c r="AC403">
        <v>390</v>
      </c>
      <c r="AE403" t="str">
        <f>IF(LISTADO_NOM!AK403="","",VLOOKUP(LISTADO_NOM!AK403,SEGUIMIENTOS,2,FALSE))</f>
        <v/>
      </c>
    </row>
    <row r="404" spans="26:31" x14ac:dyDescent="0.25">
      <c r="Z404" s="88" t="str">
        <f>IF(LISTADO_NOM!K404="","",DATE(LISTADO_NOM!M404,LISTADO_NOM!L404,LISTADO_NOM!K404))</f>
        <v/>
      </c>
      <c r="AA404" s="88" t="str">
        <f>IFERROR(INDEX($Z$14:$Z$300, MATCH(0, INDEX(COUNTIF($AA$13:AA403, $Z$14:$Z$300), 0, 0), 0)), "")</f>
        <v/>
      </c>
      <c r="AB404" s="88" t="str">
        <f t="shared" si="6"/>
        <v/>
      </c>
      <c r="AC404">
        <v>391</v>
      </c>
      <c r="AE404" t="str">
        <f>IF(LISTADO_NOM!AK404="","",VLOOKUP(LISTADO_NOM!AK404,SEGUIMIENTOS,2,FALSE))</f>
        <v/>
      </c>
    </row>
    <row r="405" spans="26:31" x14ac:dyDescent="0.25">
      <c r="Z405" s="88" t="str">
        <f>IF(LISTADO_NOM!K405="","",DATE(LISTADO_NOM!M405,LISTADO_NOM!L405,LISTADO_NOM!K405))</f>
        <v/>
      </c>
      <c r="AA405" s="88" t="str">
        <f>IFERROR(INDEX($Z$14:$Z$300, MATCH(0, INDEX(COUNTIF($AA$13:AA404, $Z$14:$Z$300), 0, 0), 0)), "")</f>
        <v/>
      </c>
      <c r="AB405" s="88" t="str">
        <f t="shared" si="6"/>
        <v/>
      </c>
      <c r="AC405">
        <v>392</v>
      </c>
      <c r="AE405" t="str">
        <f>IF(LISTADO_NOM!AK405="","",VLOOKUP(LISTADO_NOM!AK405,SEGUIMIENTOS,2,FALSE))</f>
        <v/>
      </c>
    </row>
    <row r="406" spans="26:31" x14ac:dyDescent="0.25">
      <c r="Z406" s="88" t="str">
        <f>IF(LISTADO_NOM!K406="","",DATE(LISTADO_NOM!M406,LISTADO_NOM!L406,LISTADO_NOM!K406))</f>
        <v/>
      </c>
      <c r="AA406" s="88" t="str">
        <f>IFERROR(INDEX($Z$14:$Z$300, MATCH(0, INDEX(COUNTIF($AA$13:AA405, $Z$14:$Z$300), 0, 0), 0)), "")</f>
        <v/>
      </c>
      <c r="AB406" s="88" t="str">
        <f t="shared" si="6"/>
        <v/>
      </c>
      <c r="AC406">
        <v>393</v>
      </c>
      <c r="AE406" t="str">
        <f>IF(LISTADO_NOM!AK406="","",VLOOKUP(LISTADO_NOM!AK406,SEGUIMIENTOS,2,FALSE))</f>
        <v/>
      </c>
    </row>
    <row r="407" spans="26:31" x14ac:dyDescent="0.25">
      <c r="Z407" s="88" t="str">
        <f>IF(LISTADO_NOM!K407="","",DATE(LISTADO_NOM!M407,LISTADO_NOM!L407,LISTADO_NOM!K407))</f>
        <v/>
      </c>
      <c r="AA407" s="88" t="str">
        <f>IFERROR(INDEX($Z$14:$Z$300, MATCH(0, INDEX(COUNTIF($AA$13:AA406, $Z$14:$Z$300), 0, 0), 0)), "")</f>
        <v/>
      </c>
      <c r="AB407" s="88" t="str">
        <f t="shared" si="6"/>
        <v/>
      </c>
      <c r="AC407">
        <v>394</v>
      </c>
      <c r="AE407" t="str">
        <f>IF(LISTADO_NOM!AK407="","",VLOOKUP(LISTADO_NOM!AK407,SEGUIMIENTOS,2,FALSE))</f>
        <v/>
      </c>
    </row>
    <row r="408" spans="26:31" x14ac:dyDescent="0.25">
      <c r="Z408" s="88" t="str">
        <f>IF(LISTADO_NOM!K408="","",DATE(LISTADO_NOM!M408,LISTADO_NOM!L408,LISTADO_NOM!K408))</f>
        <v/>
      </c>
      <c r="AA408" s="88" t="str">
        <f>IFERROR(INDEX($Z$14:$Z$300, MATCH(0, INDEX(COUNTIF($AA$13:AA407, $Z$14:$Z$300), 0, 0), 0)), "")</f>
        <v/>
      </c>
      <c r="AB408" s="88" t="str">
        <f t="shared" si="6"/>
        <v/>
      </c>
      <c r="AC408">
        <v>395</v>
      </c>
      <c r="AE408" t="str">
        <f>IF(LISTADO_NOM!AK408="","",VLOOKUP(LISTADO_NOM!AK408,SEGUIMIENTOS,2,FALSE))</f>
        <v/>
      </c>
    </row>
    <row r="409" spans="26:31" x14ac:dyDescent="0.25">
      <c r="Z409" s="88" t="str">
        <f>IF(LISTADO_NOM!K409="","",DATE(LISTADO_NOM!M409,LISTADO_NOM!L409,LISTADO_NOM!K409))</f>
        <v/>
      </c>
      <c r="AA409" s="88" t="str">
        <f>IFERROR(INDEX($Z$14:$Z$300, MATCH(0, INDEX(COUNTIF($AA$13:AA408, $Z$14:$Z$300), 0, 0), 0)), "")</f>
        <v/>
      </c>
      <c r="AB409" s="88" t="str">
        <f t="shared" si="6"/>
        <v/>
      </c>
      <c r="AC409">
        <v>396</v>
      </c>
      <c r="AE409" t="str">
        <f>IF(LISTADO_NOM!AK409="","",VLOOKUP(LISTADO_NOM!AK409,SEGUIMIENTOS,2,FALSE))</f>
        <v/>
      </c>
    </row>
    <row r="410" spans="26:31" x14ac:dyDescent="0.25">
      <c r="Z410" s="88" t="str">
        <f>IF(LISTADO_NOM!K410="","",DATE(LISTADO_NOM!M410,LISTADO_NOM!L410,LISTADO_NOM!K410))</f>
        <v/>
      </c>
      <c r="AA410" s="88" t="str">
        <f>IFERROR(INDEX($Z$14:$Z$300, MATCH(0, INDEX(COUNTIF($AA$13:AA409, $Z$14:$Z$300), 0, 0), 0)), "")</f>
        <v/>
      </c>
      <c r="AB410" s="88" t="str">
        <f t="shared" si="6"/>
        <v/>
      </c>
      <c r="AC410">
        <v>397</v>
      </c>
      <c r="AE410" t="str">
        <f>IF(LISTADO_NOM!AK410="","",VLOOKUP(LISTADO_NOM!AK410,SEGUIMIENTOS,2,FALSE))</f>
        <v/>
      </c>
    </row>
    <row r="411" spans="26:31" x14ac:dyDescent="0.25">
      <c r="Z411" s="88" t="str">
        <f>IF(LISTADO_NOM!K411="","",DATE(LISTADO_NOM!M411,LISTADO_NOM!L411,LISTADO_NOM!K411))</f>
        <v/>
      </c>
      <c r="AA411" s="88" t="str">
        <f>IFERROR(INDEX($Z$14:$Z$300, MATCH(0, INDEX(COUNTIF($AA$13:AA410, $Z$14:$Z$300), 0, 0), 0)), "")</f>
        <v/>
      </c>
      <c r="AB411" s="88" t="str">
        <f t="shared" si="6"/>
        <v/>
      </c>
      <c r="AC411">
        <v>398</v>
      </c>
      <c r="AE411" t="str">
        <f>IF(LISTADO_NOM!AK411="","",VLOOKUP(LISTADO_NOM!AK411,SEGUIMIENTOS,2,FALSE))</f>
        <v/>
      </c>
    </row>
    <row r="412" spans="26:31" x14ac:dyDescent="0.25">
      <c r="Z412" s="88" t="str">
        <f>IF(LISTADO_NOM!K412="","",DATE(LISTADO_NOM!M412,LISTADO_NOM!L412,LISTADO_NOM!K412))</f>
        <v/>
      </c>
      <c r="AA412" s="88" t="str">
        <f>IFERROR(INDEX($Z$14:$Z$300, MATCH(0, INDEX(COUNTIF($AA$13:AA411, $Z$14:$Z$300), 0, 0), 0)), "")</f>
        <v/>
      </c>
      <c r="AB412" s="88" t="str">
        <f t="shared" si="6"/>
        <v/>
      </c>
      <c r="AC412">
        <v>399</v>
      </c>
      <c r="AE412" t="str">
        <f>IF(LISTADO_NOM!AK412="","",VLOOKUP(LISTADO_NOM!AK412,SEGUIMIENTOS,2,FALSE))</f>
        <v/>
      </c>
    </row>
    <row r="413" spans="26:31" x14ac:dyDescent="0.25">
      <c r="Z413" s="88" t="str">
        <f>IF(LISTADO_NOM!K413="","",DATE(LISTADO_NOM!M413,LISTADO_NOM!L413,LISTADO_NOM!K413))</f>
        <v/>
      </c>
      <c r="AA413" s="88" t="str">
        <f>IFERROR(INDEX($Z$14:$Z$300, MATCH(0, INDEX(COUNTIF($AA$13:AA412, $Z$14:$Z$300), 0, 0), 0)), "")</f>
        <v/>
      </c>
      <c r="AB413" s="88" t="str">
        <f t="shared" si="6"/>
        <v/>
      </c>
      <c r="AC413">
        <v>400</v>
      </c>
      <c r="AE413" t="str">
        <f>IF(LISTADO_NOM!AK413="","",VLOOKUP(LISTADO_NOM!AK413,SEGUIMIENTOS,2,FALSE))</f>
        <v/>
      </c>
    </row>
    <row r="414" spans="26:31" x14ac:dyDescent="0.25">
      <c r="Z414" s="88" t="str">
        <f>IF(LISTADO_NOM!K414="","",DATE(LISTADO_NOM!M414,LISTADO_NOM!L414,LISTADO_NOM!K414))</f>
        <v/>
      </c>
      <c r="AA414" s="88" t="str">
        <f>IFERROR(INDEX($Z$14:$Z$300, MATCH(0, INDEX(COUNTIF($AA$13:AA413, $Z$14:$Z$300), 0, 0), 0)), "")</f>
        <v/>
      </c>
      <c r="AB414" s="88" t="str">
        <f t="shared" si="6"/>
        <v/>
      </c>
      <c r="AC414">
        <v>401</v>
      </c>
      <c r="AE414" t="str">
        <f>IF(LISTADO_NOM!AK414="","",VLOOKUP(LISTADO_NOM!AK414,SEGUIMIENTOS,2,FALSE))</f>
        <v/>
      </c>
    </row>
    <row r="415" spans="26:31" x14ac:dyDescent="0.25">
      <c r="Z415" s="88" t="str">
        <f>IF(LISTADO_NOM!K415="","",DATE(LISTADO_NOM!M415,LISTADO_NOM!L415,LISTADO_NOM!K415))</f>
        <v/>
      </c>
      <c r="AA415" s="88" t="str">
        <f>IFERROR(INDEX($Z$14:$Z$300, MATCH(0, INDEX(COUNTIF($AA$13:AA414, $Z$14:$Z$300), 0, 0), 0)), "")</f>
        <v/>
      </c>
      <c r="AB415" s="88" t="str">
        <f t="shared" si="6"/>
        <v/>
      </c>
      <c r="AC415">
        <v>402</v>
      </c>
      <c r="AE415" t="str">
        <f>IF(LISTADO_NOM!AK415="","",VLOOKUP(LISTADO_NOM!AK415,SEGUIMIENTOS,2,FALSE))</f>
        <v/>
      </c>
    </row>
    <row r="416" spans="26:31" x14ac:dyDescent="0.25">
      <c r="Z416" s="88" t="str">
        <f>IF(LISTADO_NOM!K416="","",DATE(LISTADO_NOM!M416,LISTADO_NOM!L416,LISTADO_NOM!K416))</f>
        <v/>
      </c>
      <c r="AA416" s="88" t="str">
        <f>IFERROR(INDEX($Z$14:$Z$300, MATCH(0, INDEX(COUNTIF($AA$13:AA415, $Z$14:$Z$300), 0, 0), 0)), "")</f>
        <v/>
      </c>
      <c r="AB416" s="88" t="str">
        <f t="shared" si="6"/>
        <v/>
      </c>
      <c r="AC416">
        <v>403</v>
      </c>
      <c r="AE416" t="str">
        <f>IF(LISTADO_NOM!AK416="","",VLOOKUP(LISTADO_NOM!AK416,SEGUIMIENTOS,2,FALSE))</f>
        <v/>
      </c>
    </row>
    <row r="417" spans="26:31" x14ac:dyDescent="0.25">
      <c r="Z417" s="88" t="str">
        <f>IF(LISTADO_NOM!K417="","",DATE(LISTADO_NOM!M417,LISTADO_NOM!L417,LISTADO_NOM!K417))</f>
        <v/>
      </c>
      <c r="AA417" s="88" t="str">
        <f>IFERROR(INDEX($Z$14:$Z$300, MATCH(0, INDEX(COUNTIF($AA$13:AA416, $Z$14:$Z$300), 0, 0), 0)), "")</f>
        <v/>
      </c>
      <c r="AB417" s="88" t="str">
        <f t="shared" si="6"/>
        <v/>
      </c>
      <c r="AC417">
        <v>404</v>
      </c>
      <c r="AE417" t="str">
        <f>IF(LISTADO_NOM!AK417="","",VLOOKUP(LISTADO_NOM!AK417,SEGUIMIENTOS,2,FALSE))</f>
        <v/>
      </c>
    </row>
    <row r="418" spans="26:31" x14ac:dyDescent="0.25">
      <c r="Z418" s="88" t="str">
        <f>IF(LISTADO_NOM!K418="","",DATE(LISTADO_NOM!M418,LISTADO_NOM!L418,LISTADO_NOM!K418))</f>
        <v/>
      </c>
      <c r="AA418" s="88" t="str">
        <f>IFERROR(INDEX($Z$14:$Z$300, MATCH(0, INDEX(COUNTIF($AA$13:AA417, $Z$14:$Z$300), 0, 0), 0)), "")</f>
        <v/>
      </c>
      <c r="AB418" s="88" t="str">
        <f t="shared" si="6"/>
        <v/>
      </c>
      <c r="AC418">
        <v>405</v>
      </c>
      <c r="AE418" t="str">
        <f>IF(LISTADO_NOM!AK418="","",VLOOKUP(LISTADO_NOM!AK418,SEGUIMIENTOS,2,FALSE))</f>
        <v/>
      </c>
    </row>
    <row r="419" spans="26:31" x14ac:dyDescent="0.25">
      <c r="Z419" s="88" t="str">
        <f>IF(LISTADO_NOM!K419="","",DATE(LISTADO_NOM!M419,LISTADO_NOM!L419,LISTADO_NOM!K419))</f>
        <v/>
      </c>
      <c r="AA419" s="88" t="str">
        <f>IFERROR(INDEX($Z$14:$Z$300, MATCH(0, INDEX(COUNTIF($AA$13:AA418, $Z$14:$Z$300), 0, 0), 0)), "")</f>
        <v/>
      </c>
      <c r="AB419" s="88" t="str">
        <f t="shared" si="6"/>
        <v/>
      </c>
      <c r="AC419">
        <v>406</v>
      </c>
      <c r="AE419" t="str">
        <f>IF(LISTADO_NOM!AK419="","",VLOOKUP(LISTADO_NOM!AK419,SEGUIMIENTOS,2,FALSE))</f>
        <v/>
      </c>
    </row>
    <row r="420" spans="26:31" x14ac:dyDescent="0.25">
      <c r="Z420" s="88" t="str">
        <f>IF(LISTADO_NOM!K420="","",DATE(LISTADO_NOM!M420,LISTADO_NOM!L420,LISTADO_NOM!K420))</f>
        <v/>
      </c>
      <c r="AA420" s="88" t="str">
        <f>IFERROR(INDEX($Z$14:$Z$300, MATCH(0, INDEX(COUNTIF($AA$13:AA419, $Z$14:$Z$300), 0, 0), 0)), "")</f>
        <v/>
      </c>
      <c r="AB420" s="88" t="str">
        <f t="shared" si="6"/>
        <v/>
      </c>
      <c r="AC420">
        <v>407</v>
      </c>
      <c r="AE420" t="str">
        <f>IF(LISTADO_NOM!AK420="","",VLOOKUP(LISTADO_NOM!AK420,SEGUIMIENTOS,2,FALSE))</f>
        <v/>
      </c>
    </row>
    <row r="421" spans="26:31" x14ac:dyDescent="0.25">
      <c r="Z421" s="88" t="str">
        <f>IF(LISTADO_NOM!K421="","",DATE(LISTADO_NOM!M421,LISTADO_NOM!L421,LISTADO_NOM!K421))</f>
        <v/>
      </c>
      <c r="AA421" s="88" t="str">
        <f>IFERROR(INDEX($Z$14:$Z$300, MATCH(0, INDEX(COUNTIF($AA$13:AA420, $Z$14:$Z$300), 0, 0), 0)), "")</f>
        <v/>
      </c>
      <c r="AB421" s="88" t="str">
        <f t="shared" si="6"/>
        <v/>
      </c>
      <c r="AC421">
        <v>408</v>
      </c>
      <c r="AE421" t="str">
        <f>IF(LISTADO_NOM!AK421="","",VLOOKUP(LISTADO_NOM!AK421,SEGUIMIENTOS,2,FALSE))</f>
        <v/>
      </c>
    </row>
    <row r="422" spans="26:31" x14ac:dyDescent="0.25">
      <c r="Z422" s="88" t="str">
        <f>IF(LISTADO_NOM!K422="","",DATE(LISTADO_NOM!M422,LISTADO_NOM!L422,LISTADO_NOM!K422))</f>
        <v/>
      </c>
      <c r="AA422" s="88" t="str">
        <f>IFERROR(INDEX($Z$14:$Z$300, MATCH(0, INDEX(COUNTIF($AA$13:AA421, $Z$14:$Z$300), 0, 0), 0)), "")</f>
        <v/>
      </c>
      <c r="AB422" s="88" t="str">
        <f t="shared" si="6"/>
        <v/>
      </c>
      <c r="AC422">
        <v>409</v>
      </c>
      <c r="AE422" t="str">
        <f>IF(LISTADO_NOM!AK422="","",VLOOKUP(LISTADO_NOM!AK422,SEGUIMIENTOS,2,FALSE))</f>
        <v/>
      </c>
    </row>
    <row r="423" spans="26:31" x14ac:dyDescent="0.25">
      <c r="Z423" s="88" t="str">
        <f>IF(LISTADO_NOM!K423="","",DATE(LISTADO_NOM!M423,LISTADO_NOM!L423,LISTADO_NOM!K423))</f>
        <v/>
      </c>
      <c r="AA423" s="88" t="str">
        <f>IFERROR(INDEX($Z$14:$Z$300, MATCH(0, INDEX(COUNTIF($AA$13:AA422, $Z$14:$Z$300), 0, 0), 0)), "")</f>
        <v/>
      </c>
      <c r="AB423" s="88" t="str">
        <f t="shared" si="6"/>
        <v/>
      </c>
      <c r="AC423">
        <v>410</v>
      </c>
      <c r="AE423" t="str">
        <f>IF(LISTADO_NOM!AK423="","",VLOOKUP(LISTADO_NOM!AK423,SEGUIMIENTOS,2,FALSE))</f>
        <v/>
      </c>
    </row>
    <row r="424" spans="26:31" x14ac:dyDescent="0.25">
      <c r="Z424" s="88" t="str">
        <f>IF(LISTADO_NOM!K424="","",DATE(LISTADO_NOM!M424,LISTADO_NOM!L424,LISTADO_NOM!K424))</f>
        <v/>
      </c>
      <c r="AA424" s="88" t="str">
        <f>IFERROR(INDEX($Z$14:$Z$300, MATCH(0, INDEX(COUNTIF($AA$13:AA423, $Z$14:$Z$300), 0, 0), 0)), "")</f>
        <v/>
      </c>
      <c r="AB424" s="88" t="str">
        <f t="shared" si="6"/>
        <v/>
      </c>
      <c r="AC424">
        <v>411</v>
      </c>
      <c r="AE424" t="str">
        <f>IF(LISTADO_NOM!AK424="","",VLOOKUP(LISTADO_NOM!AK424,SEGUIMIENTOS,2,FALSE))</f>
        <v/>
      </c>
    </row>
    <row r="425" spans="26:31" x14ac:dyDescent="0.25">
      <c r="Z425" s="88" t="str">
        <f>IF(LISTADO_NOM!K425="","",DATE(LISTADO_NOM!M425,LISTADO_NOM!L425,LISTADO_NOM!K425))</f>
        <v/>
      </c>
      <c r="AA425" s="88" t="str">
        <f>IFERROR(INDEX($Z$14:$Z$300, MATCH(0, INDEX(COUNTIF($AA$13:AA424, $Z$14:$Z$300), 0, 0), 0)), "")</f>
        <v/>
      </c>
      <c r="AB425" s="88" t="str">
        <f t="shared" si="6"/>
        <v/>
      </c>
      <c r="AC425">
        <v>412</v>
      </c>
      <c r="AE425" t="str">
        <f>IF(LISTADO_NOM!AK425="","",VLOOKUP(LISTADO_NOM!AK425,SEGUIMIENTOS,2,FALSE))</f>
        <v/>
      </c>
    </row>
    <row r="426" spans="26:31" x14ac:dyDescent="0.25">
      <c r="Z426" s="88" t="str">
        <f>IF(LISTADO_NOM!K426="","",DATE(LISTADO_NOM!M426,LISTADO_NOM!L426,LISTADO_NOM!K426))</f>
        <v/>
      </c>
      <c r="AA426" s="88" t="str">
        <f>IFERROR(INDEX($Z$14:$Z$300, MATCH(0, INDEX(COUNTIF($AA$13:AA425, $Z$14:$Z$300), 0, 0), 0)), "")</f>
        <v/>
      </c>
      <c r="AB426" s="88" t="str">
        <f t="shared" si="6"/>
        <v/>
      </c>
      <c r="AC426">
        <v>413</v>
      </c>
      <c r="AE426" t="str">
        <f>IF(LISTADO_NOM!AK426="","",VLOOKUP(LISTADO_NOM!AK426,SEGUIMIENTOS,2,FALSE))</f>
        <v/>
      </c>
    </row>
    <row r="427" spans="26:31" x14ac:dyDescent="0.25">
      <c r="Z427" s="88" t="str">
        <f>IF(LISTADO_NOM!K427="","",DATE(LISTADO_NOM!M427,LISTADO_NOM!L427,LISTADO_NOM!K427))</f>
        <v/>
      </c>
      <c r="AA427" s="88" t="str">
        <f>IFERROR(INDEX($Z$14:$Z$300, MATCH(0, INDEX(COUNTIF($AA$13:AA426, $Z$14:$Z$300), 0, 0), 0)), "")</f>
        <v/>
      </c>
      <c r="AB427" s="88" t="str">
        <f t="shared" si="6"/>
        <v/>
      </c>
      <c r="AC427">
        <v>414</v>
      </c>
      <c r="AE427" t="str">
        <f>IF(LISTADO_NOM!AK427="","",VLOOKUP(LISTADO_NOM!AK427,SEGUIMIENTOS,2,FALSE))</f>
        <v/>
      </c>
    </row>
    <row r="428" spans="26:31" x14ac:dyDescent="0.25">
      <c r="Z428" s="88" t="str">
        <f>IF(LISTADO_NOM!K428="","",DATE(LISTADO_NOM!M428,LISTADO_NOM!L428,LISTADO_NOM!K428))</f>
        <v/>
      </c>
      <c r="AA428" s="88" t="str">
        <f>IFERROR(INDEX($Z$14:$Z$300, MATCH(0, INDEX(COUNTIF($AA$13:AA427, $Z$14:$Z$300), 0, 0), 0)), "")</f>
        <v/>
      </c>
      <c r="AB428" s="88" t="str">
        <f t="shared" si="6"/>
        <v/>
      </c>
      <c r="AC428">
        <v>415</v>
      </c>
      <c r="AE428" t="str">
        <f>IF(LISTADO_NOM!AK428="","",VLOOKUP(LISTADO_NOM!AK428,SEGUIMIENTOS,2,FALSE))</f>
        <v/>
      </c>
    </row>
    <row r="429" spans="26:31" x14ac:dyDescent="0.25">
      <c r="Z429" s="88" t="str">
        <f>IF(LISTADO_NOM!K429="","",DATE(LISTADO_NOM!M429,LISTADO_NOM!L429,LISTADO_NOM!K429))</f>
        <v/>
      </c>
      <c r="AA429" s="88" t="str">
        <f>IFERROR(INDEX($Z$14:$Z$300, MATCH(0, INDEX(COUNTIF($AA$13:AA428, $Z$14:$Z$300), 0, 0), 0)), "")</f>
        <v/>
      </c>
      <c r="AB429" s="88" t="str">
        <f t="shared" si="6"/>
        <v/>
      </c>
      <c r="AC429">
        <v>416</v>
      </c>
      <c r="AE429" t="str">
        <f>IF(LISTADO_NOM!AK429="","",VLOOKUP(LISTADO_NOM!AK429,SEGUIMIENTOS,2,FALSE))</f>
        <v/>
      </c>
    </row>
    <row r="430" spans="26:31" x14ac:dyDescent="0.25">
      <c r="Z430" s="88" t="str">
        <f>IF(LISTADO_NOM!K430="","",DATE(LISTADO_NOM!M430,LISTADO_NOM!L430,LISTADO_NOM!K430))</f>
        <v/>
      </c>
      <c r="AA430" s="88" t="str">
        <f>IFERROR(INDEX($Z$14:$Z$300, MATCH(0, INDEX(COUNTIF($AA$13:AA429, $Z$14:$Z$300), 0, 0), 0)), "")</f>
        <v/>
      </c>
      <c r="AB430" s="88" t="str">
        <f t="shared" si="6"/>
        <v/>
      </c>
      <c r="AC430">
        <v>417</v>
      </c>
      <c r="AE430" t="str">
        <f>IF(LISTADO_NOM!AK430="","",VLOOKUP(LISTADO_NOM!AK430,SEGUIMIENTOS,2,FALSE))</f>
        <v/>
      </c>
    </row>
    <row r="431" spans="26:31" x14ac:dyDescent="0.25">
      <c r="Z431" s="88" t="str">
        <f>IF(LISTADO_NOM!K431="","",DATE(LISTADO_NOM!M431,LISTADO_NOM!L431,LISTADO_NOM!K431))</f>
        <v/>
      </c>
      <c r="AA431" s="88" t="str">
        <f>IFERROR(INDEX($Z$14:$Z$300, MATCH(0, INDEX(COUNTIF($AA$13:AA430, $Z$14:$Z$300), 0, 0), 0)), "")</f>
        <v/>
      </c>
      <c r="AB431" s="88" t="str">
        <f t="shared" si="6"/>
        <v/>
      </c>
      <c r="AC431">
        <v>418</v>
      </c>
      <c r="AE431" t="str">
        <f>IF(LISTADO_NOM!AK431="","",VLOOKUP(LISTADO_NOM!AK431,SEGUIMIENTOS,2,FALSE))</f>
        <v/>
      </c>
    </row>
    <row r="432" spans="26:31" x14ac:dyDescent="0.25">
      <c r="Z432" s="88" t="str">
        <f>IF(LISTADO_NOM!K432="","",DATE(LISTADO_NOM!M432,LISTADO_NOM!L432,LISTADO_NOM!K432))</f>
        <v/>
      </c>
      <c r="AA432" s="88" t="str">
        <f>IFERROR(INDEX($Z$14:$Z$300, MATCH(0, INDEX(COUNTIF($AA$13:AA431, $Z$14:$Z$300), 0, 0), 0)), "")</f>
        <v/>
      </c>
      <c r="AB432" s="88" t="str">
        <f t="shared" si="6"/>
        <v/>
      </c>
      <c r="AC432">
        <v>419</v>
      </c>
      <c r="AE432" t="str">
        <f>IF(LISTADO_NOM!AK432="","",VLOOKUP(LISTADO_NOM!AK432,SEGUIMIENTOS,2,FALSE))</f>
        <v/>
      </c>
    </row>
    <row r="433" spans="26:31" x14ac:dyDescent="0.25">
      <c r="Z433" s="88" t="str">
        <f>IF(LISTADO_NOM!K433="","",DATE(LISTADO_NOM!M433,LISTADO_NOM!L433,LISTADO_NOM!K433))</f>
        <v/>
      </c>
      <c r="AA433" s="88" t="str">
        <f>IFERROR(INDEX($Z$14:$Z$300, MATCH(0, INDEX(COUNTIF($AA$13:AA432, $Z$14:$Z$300), 0, 0), 0)), "")</f>
        <v/>
      </c>
      <c r="AB433" s="88" t="str">
        <f t="shared" si="6"/>
        <v/>
      </c>
      <c r="AC433">
        <v>420</v>
      </c>
      <c r="AE433" t="str">
        <f>IF(LISTADO_NOM!AK433="","",VLOOKUP(LISTADO_NOM!AK433,SEGUIMIENTOS,2,FALSE))</f>
        <v/>
      </c>
    </row>
    <row r="434" spans="26:31" x14ac:dyDescent="0.25">
      <c r="Z434" s="88" t="str">
        <f>IF(LISTADO_NOM!K434="","",DATE(LISTADO_NOM!M434,LISTADO_NOM!L434,LISTADO_NOM!K434))</f>
        <v/>
      </c>
      <c r="AA434" s="88" t="str">
        <f>IFERROR(INDEX($Z$14:$Z$300, MATCH(0, INDEX(COUNTIF($AA$13:AA433, $Z$14:$Z$300), 0, 0), 0)), "")</f>
        <v/>
      </c>
      <c r="AB434" s="88" t="str">
        <f t="shared" si="6"/>
        <v/>
      </c>
      <c r="AC434">
        <v>421</v>
      </c>
      <c r="AE434" t="str">
        <f>IF(LISTADO_NOM!AK434="","",VLOOKUP(LISTADO_NOM!AK434,SEGUIMIENTOS,2,FALSE))</f>
        <v/>
      </c>
    </row>
    <row r="435" spans="26:31" x14ac:dyDescent="0.25">
      <c r="Z435" s="88" t="str">
        <f>IF(LISTADO_NOM!K435="","",DATE(LISTADO_NOM!M435,LISTADO_NOM!L435,LISTADO_NOM!K435))</f>
        <v/>
      </c>
      <c r="AA435" s="88" t="str">
        <f>IFERROR(INDEX($Z$14:$Z$300, MATCH(0, INDEX(COUNTIF($AA$13:AA434, $Z$14:$Z$300), 0, 0), 0)), "")</f>
        <v/>
      </c>
      <c r="AB435" s="88" t="str">
        <f t="shared" si="6"/>
        <v/>
      </c>
      <c r="AC435">
        <v>422</v>
      </c>
      <c r="AE435" t="str">
        <f>IF(LISTADO_NOM!AK435="","",VLOOKUP(LISTADO_NOM!AK435,SEGUIMIENTOS,2,FALSE))</f>
        <v/>
      </c>
    </row>
    <row r="436" spans="26:31" x14ac:dyDescent="0.25">
      <c r="Z436" s="88" t="str">
        <f>IF(LISTADO_NOM!K436="","",DATE(LISTADO_NOM!M436,LISTADO_NOM!L436,LISTADO_NOM!K436))</f>
        <v/>
      </c>
      <c r="AA436" s="88" t="str">
        <f>IFERROR(INDEX($Z$14:$Z$300, MATCH(0, INDEX(COUNTIF($AA$13:AA435, $Z$14:$Z$300), 0, 0), 0)), "")</f>
        <v/>
      </c>
      <c r="AB436" s="88" t="str">
        <f t="shared" si="6"/>
        <v/>
      </c>
      <c r="AC436">
        <v>423</v>
      </c>
      <c r="AE436" t="str">
        <f>IF(LISTADO_NOM!AK436="","",VLOOKUP(LISTADO_NOM!AK436,SEGUIMIENTOS,2,FALSE))</f>
        <v/>
      </c>
    </row>
    <row r="437" spans="26:31" x14ac:dyDescent="0.25">
      <c r="Z437" s="88" t="str">
        <f>IF(LISTADO_NOM!K437="","",DATE(LISTADO_NOM!M437,LISTADO_NOM!L437,LISTADO_NOM!K437))</f>
        <v/>
      </c>
      <c r="AA437" s="88" t="str">
        <f>IFERROR(INDEX($Z$14:$Z$300, MATCH(0, INDEX(COUNTIF($AA$13:AA436, $Z$14:$Z$300), 0, 0), 0)), "")</f>
        <v/>
      </c>
      <c r="AB437" s="88" t="str">
        <f t="shared" si="6"/>
        <v/>
      </c>
      <c r="AC437">
        <v>424</v>
      </c>
      <c r="AE437" t="str">
        <f>IF(LISTADO_NOM!AK437="","",VLOOKUP(LISTADO_NOM!AK437,SEGUIMIENTOS,2,FALSE))</f>
        <v/>
      </c>
    </row>
    <row r="438" spans="26:31" x14ac:dyDescent="0.25">
      <c r="Z438" s="88" t="str">
        <f>IF(LISTADO_NOM!K438="","",DATE(LISTADO_NOM!M438,LISTADO_NOM!L438,LISTADO_NOM!K438))</f>
        <v/>
      </c>
      <c r="AA438" s="88" t="str">
        <f>IFERROR(INDEX($Z$14:$Z$300, MATCH(0, INDEX(COUNTIF($AA$13:AA437, $Z$14:$Z$300), 0, 0), 0)), "")</f>
        <v/>
      </c>
      <c r="AB438" s="88" t="str">
        <f t="shared" si="6"/>
        <v/>
      </c>
      <c r="AC438">
        <v>425</v>
      </c>
      <c r="AE438" t="str">
        <f>IF(LISTADO_NOM!AK438="","",VLOOKUP(LISTADO_NOM!AK438,SEGUIMIENTOS,2,FALSE))</f>
        <v/>
      </c>
    </row>
    <row r="439" spans="26:31" x14ac:dyDescent="0.25">
      <c r="Z439" s="88" t="str">
        <f>IF(LISTADO_NOM!K439="","",DATE(LISTADO_NOM!M439,LISTADO_NOM!L439,LISTADO_NOM!K439))</f>
        <v/>
      </c>
      <c r="AA439" s="88" t="str">
        <f>IFERROR(INDEX($Z$14:$Z$300, MATCH(0, INDEX(COUNTIF($AA$13:AA438, $Z$14:$Z$300), 0, 0), 0)), "")</f>
        <v/>
      </c>
      <c r="AB439" s="88" t="str">
        <f t="shared" si="6"/>
        <v/>
      </c>
      <c r="AC439">
        <v>426</v>
      </c>
      <c r="AE439" t="str">
        <f>IF(LISTADO_NOM!AK439="","",VLOOKUP(LISTADO_NOM!AK439,SEGUIMIENTOS,2,FALSE))</f>
        <v/>
      </c>
    </row>
    <row r="440" spans="26:31" x14ac:dyDescent="0.25">
      <c r="Z440" s="88" t="str">
        <f>IF(LISTADO_NOM!K440="","",DATE(LISTADO_NOM!M440,LISTADO_NOM!L440,LISTADO_NOM!K440))</f>
        <v/>
      </c>
      <c r="AA440" s="88" t="str">
        <f>IFERROR(INDEX($Z$14:$Z$300, MATCH(0, INDEX(COUNTIF($AA$13:AA439, $Z$14:$Z$300), 0, 0), 0)), "")</f>
        <v/>
      </c>
      <c r="AB440" s="88" t="str">
        <f t="shared" si="6"/>
        <v/>
      </c>
      <c r="AC440">
        <v>427</v>
      </c>
      <c r="AE440" t="str">
        <f>IF(LISTADO_NOM!AK440="","",VLOOKUP(LISTADO_NOM!AK440,SEGUIMIENTOS,2,FALSE))</f>
        <v/>
      </c>
    </row>
    <row r="441" spans="26:31" x14ac:dyDescent="0.25">
      <c r="Z441" s="88" t="str">
        <f>IF(LISTADO_NOM!K441="","",DATE(LISTADO_NOM!M441,LISTADO_NOM!L441,LISTADO_NOM!K441))</f>
        <v/>
      </c>
      <c r="AA441" s="88" t="str">
        <f>IFERROR(INDEX($Z$14:$Z$300, MATCH(0, INDEX(COUNTIF($AA$13:AA440, $Z$14:$Z$300), 0, 0), 0)), "")</f>
        <v/>
      </c>
      <c r="AB441" s="88" t="str">
        <f t="shared" si="6"/>
        <v/>
      </c>
      <c r="AC441">
        <v>428</v>
      </c>
      <c r="AE441" t="str">
        <f>IF(LISTADO_NOM!AK441="","",VLOOKUP(LISTADO_NOM!AK441,SEGUIMIENTOS,2,FALSE))</f>
        <v/>
      </c>
    </row>
    <row r="442" spans="26:31" x14ac:dyDescent="0.25">
      <c r="Z442" s="88" t="str">
        <f>IF(LISTADO_NOM!K442="","",DATE(LISTADO_NOM!M442,LISTADO_NOM!L442,LISTADO_NOM!K442))</f>
        <v/>
      </c>
      <c r="AA442" s="88" t="str">
        <f>IFERROR(INDEX($Z$14:$Z$300, MATCH(0, INDEX(COUNTIF($AA$13:AA441, $Z$14:$Z$300), 0, 0), 0)), "")</f>
        <v/>
      </c>
      <c r="AB442" s="88" t="str">
        <f t="shared" si="6"/>
        <v/>
      </c>
      <c r="AC442">
        <v>429</v>
      </c>
      <c r="AE442" t="str">
        <f>IF(LISTADO_NOM!AK442="","",VLOOKUP(LISTADO_NOM!AK442,SEGUIMIENTOS,2,FALSE))</f>
        <v/>
      </c>
    </row>
    <row r="443" spans="26:31" x14ac:dyDescent="0.25">
      <c r="Z443" s="88" t="str">
        <f>IF(LISTADO_NOM!K443="","",DATE(LISTADO_NOM!M443,LISTADO_NOM!L443,LISTADO_NOM!K443))</f>
        <v/>
      </c>
      <c r="AA443" s="88" t="str">
        <f>IFERROR(INDEX($Z$14:$Z$300, MATCH(0, INDEX(COUNTIF($AA$13:AA442, $Z$14:$Z$300), 0, 0), 0)), "")</f>
        <v/>
      </c>
      <c r="AB443" s="88" t="str">
        <f t="shared" si="6"/>
        <v/>
      </c>
      <c r="AC443">
        <v>430</v>
      </c>
      <c r="AE443" t="str">
        <f>IF(LISTADO_NOM!AK443="","",VLOOKUP(LISTADO_NOM!AK443,SEGUIMIENTOS,2,FALSE))</f>
        <v/>
      </c>
    </row>
    <row r="444" spans="26:31" x14ac:dyDescent="0.25">
      <c r="Z444" s="88" t="str">
        <f>IF(LISTADO_NOM!K444="","",DATE(LISTADO_NOM!M444,LISTADO_NOM!L444,LISTADO_NOM!K444))</f>
        <v/>
      </c>
      <c r="AA444" s="88" t="str">
        <f>IFERROR(INDEX($Z$14:$Z$300, MATCH(0, INDEX(COUNTIF($AA$13:AA443, $Z$14:$Z$300), 0, 0), 0)), "")</f>
        <v/>
      </c>
      <c r="AB444" s="88" t="str">
        <f t="shared" si="6"/>
        <v/>
      </c>
      <c r="AC444">
        <v>431</v>
      </c>
      <c r="AE444" t="str">
        <f>IF(LISTADO_NOM!AK444="","",VLOOKUP(LISTADO_NOM!AK444,SEGUIMIENTOS,2,FALSE))</f>
        <v/>
      </c>
    </row>
    <row r="445" spans="26:31" x14ac:dyDescent="0.25">
      <c r="Z445" s="88" t="str">
        <f>IF(LISTADO_NOM!K445="","",DATE(LISTADO_NOM!M445,LISTADO_NOM!L445,LISTADO_NOM!K445))</f>
        <v/>
      </c>
      <c r="AA445" s="88" t="str">
        <f>IFERROR(INDEX($Z$14:$Z$300, MATCH(0, INDEX(COUNTIF($AA$13:AA444, $Z$14:$Z$300), 0, 0), 0)), "")</f>
        <v/>
      </c>
      <c r="AB445" s="88" t="str">
        <f t="shared" si="6"/>
        <v/>
      </c>
      <c r="AC445">
        <v>432</v>
      </c>
      <c r="AE445" t="str">
        <f>IF(LISTADO_NOM!AK445="","",VLOOKUP(LISTADO_NOM!AK445,SEGUIMIENTOS,2,FALSE))</f>
        <v/>
      </c>
    </row>
    <row r="446" spans="26:31" x14ac:dyDescent="0.25">
      <c r="Z446" s="88" t="str">
        <f>IF(LISTADO_NOM!K446="","",DATE(LISTADO_NOM!M446,LISTADO_NOM!L446,LISTADO_NOM!K446))</f>
        <v/>
      </c>
      <c r="AA446" s="88" t="str">
        <f>IFERROR(INDEX($Z$14:$Z$300, MATCH(0, INDEX(COUNTIF($AA$13:AA445, $Z$14:$Z$300), 0, 0), 0)), "")</f>
        <v/>
      </c>
      <c r="AB446" s="88" t="str">
        <f t="shared" si="6"/>
        <v/>
      </c>
      <c r="AC446">
        <v>433</v>
      </c>
      <c r="AE446" t="str">
        <f>IF(LISTADO_NOM!AK446="","",VLOOKUP(LISTADO_NOM!AK446,SEGUIMIENTOS,2,FALSE))</f>
        <v/>
      </c>
    </row>
    <row r="447" spans="26:31" x14ac:dyDescent="0.25">
      <c r="Z447" s="88" t="str">
        <f>IF(LISTADO_NOM!K447="","",DATE(LISTADO_NOM!M447,LISTADO_NOM!L447,LISTADO_NOM!K447))</f>
        <v/>
      </c>
      <c r="AA447" s="88" t="str">
        <f>IFERROR(INDEX($Z$14:$Z$300, MATCH(0, INDEX(COUNTIF($AA$13:AA446, $Z$14:$Z$300), 0, 0), 0)), "")</f>
        <v/>
      </c>
      <c r="AB447" s="88" t="str">
        <f t="shared" si="6"/>
        <v/>
      </c>
      <c r="AC447">
        <v>434</v>
      </c>
      <c r="AE447" t="str">
        <f>IF(LISTADO_NOM!AK447="","",VLOOKUP(LISTADO_NOM!AK447,SEGUIMIENTOS,2,FALSE))</f>
        <v/>
      </c>
    </row>
    <row r="448" spans="26:31" x14ac:dyDescent="0.25">
      <c r="Z448" s="88" t="str">
        <f>IF(LISTADO_NOM!K448="","",DATE(LISTADO_NOM!M448,LISTADO_NOM!L448,LISTADO_NOM!K448))</f>
        <v/>
      </c>
      <c r="AA448" s="88" t="str">
        <f>IFERROR(INDEX($Z$14:$Z$300, MATCH(0, INDEX(COUNTIF($AA$13:AA447, $Z$14:$Z$300), 0, 0), 0)), "")</f>
        <v/>
      </c>
      <c r="AB448" s="88" t="str">
        <f t="shared" si="6"/>
        <v/>
      </c>
      <c r="AC448">
        <v>435</v>
      </c>
      <c r="AE448" t="str">
        <f>IF(LISTADO_NOM!AK448="","",VLOOKUP(LISTADO_NOM!AK448,SEGUIMIENTOS,2,FALSE))</f>
        <v/>
      </c>
    </row>
    <row r="449" spans="26:31" x14ac:dyDescent="0.25">
      <c r="Z449" s="88" t="str">
        <f>IF(LISTADO_NOM!K449="","",DATE(LISTADO_NOM!M449,LISTADO_NOM!L449,LISTADO_NOM!K449))</f>
        <v/>
      </c>
      <c r="AA449" s="88" t="str">
        <f>IFERROR(INDEX($Z$14:$Z$300, MATCH(0, INDEX(COUNTIF($AA$13:AA448, $Z$14:$Z$300), 0, 0), 0)), "")</f>
        <v/>
      </c>
      <c r="AB449" s="88" t="str">
        <f t="shared" si="6"/>
        <v/>
      </c>
      <c r="AC449">
        <v>436</v>
      </c>
      <c r="AE449" t="str">
        <f>IF(LISTADO_NOM!AK449="","",VLOOKUP(LISTADO_NOM!AK449,SEGUIMIENTOS,2,FALSE))</f>
        <v/>
      </c>
    </row>
    <row r="450" spans="26:31" x14ac:dyDescent="0.25">
      <c r="Z450" s="88" t="str">
        <f>IF(LISTADO_NOM!K450="","",DATE(LISTADO_NOM!M450,LISTADO_NOM!L450,LISTADO_NOM!K450))</f>
        <v/>
      </c>
      <c r="AA450" s="88" t="str">
        <f>IFERROR(INDEX($Z$14:$Z$300, MATCH(0, INDEX(COUNTIF($AA$13:AA449, $Z$14:$Z$300), 0, 0), 0)), "")</f>
        <v/>
      </c>
      <c r="AB450" s="88" t="str">
        <f t="shared" si="6"/>
        <v/>
      </c>
      <c r="AC450">
        <v>437</v>
      </c>
      <c r="AE450" t="str">
        <f>IF(LISTADO_NOM!AK450="","",VLOOKUP(LISTADO_NOM!AK450,SEGUIMIENTOS,2,FALSE))</f>
        <v/>
      </c>
    </row>
    <row r="451" spans="26:31" x14ac:dyDescent="0.25">
      <c r="Z451" s="88" t="str">
        <f>IF(LISTADO_NOM!K451="","",DATE(LISTADO_NOM!M451,LISTADO_NOM!L451,LISTADO_NOM!K451))</f>
        <v/>
      </c>
      <c r="AA451" s="88" t="str">
        <f>IFERROR(INDEX($Z$14:$Z$300, MATCH(0, INDEX(COUNTIF($AA$13:AA450, $Z$14:$Z$300), 0, 0), 0)), "")</f>
        <v/>
      </c>
      <c r="AB451" s="88" t="str">
        <f t="shared" si="6"/>
        <v/>
      </c>
      <c r="AC451">
        <v>438</v>
      </c>
      <c r="AE451" t="str">
        <f>IF(LISTADO_NOM!AK451="","",VLOOKUP(LISTADO_NOM!AK451,SEGUIMIENTOS,2,FALSE))</f>
        <v/>
      </c>
    </row>
    <row r="452" spans="26:31" x14ac:dyDescent="0.25">
      <c r="Z452" s="88" t="str">
        <f>IF(LISTADO_NOM!K452="","",DATE(LISTADO_NOM!M452,LISTADO_NOM!L452,LISTADO_NOM!K452))</f>
        <v/>
      </c>
      <c r="AA452" s="88" t="str">
        <f>IFERROR(INDEX($Z$14:$Z$300, MATCH(0, INDEX(COUNTIF($AA$13:AA451, $Z$14:$Z$300), 0, 0), 0)), "")</f>
        <v/>
      </c>
      <c r="AB452" s="88" t="str">
        <f t="shared" si="6"/>
        <v/>
      </c>
      <c r="AC452">
        <v>439</v>
      </c>
      <c r="AE452" t="str">
        <f>IF(LISTADO_NOM!AK452="","",VLOOKUP(LISTADO_NOM!AK452,SEGUIMIENTOS,2,FALSE))</f>
        <v/>
      </c>
    </row>
    <row r="453" spans="26:31" x14ac:dyDescent="0.25">
      <c r="Z453" s="88" t="str">
        <f>IF(LISTADO_NOM!K453="","",DATE(LISTADO_NOM!M453,LISTADO_NOM!L453,LISTADO_NOM!K453))</f>
        <v/>
      </c>
      <c r="AA453" s="88" t="str">
        <f>IFERROR(INDEX($Z$14:$Z$300, MATCH(0, INDEX(COUNTIF($AA$13:AA452, $Z$14:$Z$300), 0, 0), 0)), "")</f>
        <v/>
      </c>
      <c r="AB453" s="88" t="str">
        <f t="shared" si="6"/>
        <v/>
      </c>
      <c r="AC453">
        <v>440</v>
      </c>
      <c r="AE453" t="str">
        <f>IF(LISTADO_NOM!AK453="","",VLOOKUP(LISTADO_NOM!AK453,SEGUIMIENTOS,2,FALSE))</f>
        <v/>
      </c>
    </row>
    <row r="454" spans="26:31" x14ac:dyDescent="0.25">
      <c r="Z454" s="88" t="str">
        <f>IF(LISTADO_NOM!K454="","",DATE(LISTADO_NOM!M454,LISTADO_NOM!L454,LISTADO_NOM!K454))</f>
        <v/>
      </c>
      <c r="AA454" s="88" t="str">
        <f>IFERROR(INDEX($Z$14:$Z$300, MATCH(0, INDEX(COUNTIF($AA$13:AA453, $Z$14:$Z$300), 0, 0), 0)), "")</f>
        <v/>
      </c>
      <c r="AB454" s="88" t="str">
        <f t="shared" si="6"/>
        <v/>
      </c>
      <c r="AC454">
        <v>441</v>
      </c>
      <c r="AE454" t="str">
        <f>IF(LISTADO_NOM!AK454="","",VLOOKUP(LISTADO_NOM!AK454,SEGUIMIENTOS,2,FALSE))</f>
        <v/>
      </c>
    </row>
    <row r="455" spans="26:31" x14ac:dyDescent="0.25">
      <c r="Z455" s="88" t="str">
        <f>IF(LISTADO_NOM!K455="","",DATE(LISTADO_NOM!M455,LISTADO_NOM!L455,LISTADO_NOM!K455))</f>
        <v/>
      </c>
      <c r="AA455" s="88" t="str">
        <f>IFERROR(INDEX($Z$14:$Z$300, MATCH(0, INDEX(COUNTIF($AA$13:AA454, $Z$14:$Z$300), 0, 0), 0)), "")</f>
        <v/>
      </c>
      <c r="AB455" s="88" t="str">
        <f t="shared" si="6"/>
        <v/>
      </c>
      <c r="AC455">
        <v>442</v>
      </c>
      <c r="AE455" t="str">
        <f>IF(LISTADO_NOM!AK455="","",VLOOKUP(LISTADO_NOM!AK455,SEGUIMIENTOS,2,FALSE))</f>
        <v/>
      </c>
    </row>
    <row r="456" spans="26:31" x14ac:dyDescent="0.25">
      <c r="Z456" s="88" t="str">
        <f>IF(LISTADO_NOM!K456="","",DATE(LISTADO_NOM!M456,LISTADO_NOM!L456,LISTADO_NOM!K456))</f>
        <v/>
      </c>
      <c r="AA456" s="88" t="str">
        <f>IFERROR(INDEX($Z$14:$Z$300, MATCH(0, INDEX(COUNTIF($AA$13:AA455, $Z$14:$Z$300), 0, 0), 0)), "")</f>
        <v/>
      </c>
      <c r="AB456" s="88" t="str">
        <f t="shared" si="6"/>
        <v/>
      </c>
      <c r="AC456">
        <v>443</v>
      </c>
      <c r="AE456" t="str">
        <f>IF(LISTADO_NOM!AK456="","",VLOOKUP(LISTADO_NOM!AK456,SEGUIMIENTOS,2,FALSE))</f>
        <v/>
      </c>
    </row>
    <row r="457" spans="26:31" x14ac:dyDescent="0.25">
      <c r="Z457" s="88" t="str">
        <f>IF(LISTADO_NOM!K457="","",DATE(LISTADO_NOM!M457,LISTADO_NOM!L457,LISTADO_NOM!K457))</f>
        <v/>
      </c>
      <c r="AA457" s="88" t="str">
        <f>IFERROR(INDEX($Z$14:$Z$300, MATCH(0, INDEX(COUNTIF($AA$13:AA456, $Z$14:$Z$300), 0, 0), 0)), "")</f>
        <v/>
      </c>
      <c r="AB457" s="88" t="str">
        <f t="shared" si="6"/>
        <v/>
      </c>
      <c r="AC457">
        <v>444</v>
      </c>
      <c r="AE457" t="str">
        <f>IF(LISTADO_NOM!AK457="","",VLOOKUP(LISTADO_NOM!AK457,SEGUIMIENTOS,2,FALSE))</f>
        <v/>
      </c>
    </row>
    <row r="458" spans="26:31" x14ac:dyDescent="0.25">
      <c r="Z458" s="88" t="str">
        <f>IF(LISTADO_NOM!K458="","",DATE(LISTADO_NOM!M458,LISTADO_NOM!L458,LISTADO_NOM!K458))</f>
        <v/>
      </c>
      <c r="AA458" s="88" t="str">
        <f>IFERROR(INDEX($Z$14:$Z$300, MATCH(0, INDEX(COUNTIF($AA$13:AA457, $Z$14:$Z$300), 0, 0), 0)), "")</f>
        <v/>
      </c>
      <c r="AB458" s="88" t="str">
        <f t="shared" si="6"/>
        <v/>
      </c>
      <c r="AC458">
        <v>445</v>
      </c>
      <c r="AE458" t="str">
        <f>IF(LISTADO_NOM!AK458="","",VLOOKUP(LISTADO_NOM!AK458,SEGUIMIENTOS,2,FALSE))</f>
        <v/>
      </c>
    </row>
    <row r="459" spans="26:31" x14ac:dyDescent="0.25">
      <c r="Z459" s="88" t="str">
        <f>IF(LISTADO_NOM!K459="","",DATE(LISTADO_NOM!M459,LISTADO_NOM!L459,LISTADO_NOM!K459))</f>
        <v/>
      </c>
      <c r="AA459" s="88" t="str">
        <f>IFERROR(INDEX($Z$14:$Z$300, MATCH(0, INDEX(COUNTIF($AA$13:AA458, $Z$14:$Z$300), 0, 0), 0)), "")</f>
        <v/>
      </c>
      <c r="AB459" s="88" t="str">
        <f t="shared" si="6"/>
        <v/>
      </c>
      <c r="AC459">
        <v>446</v>
      </c>
      <c r="AE459" t="str">
        <f>IF(LISTADO_NOM!AK459="","",VLOOKUP(LISTADO_NOM!AK459,SEGUIMIENTOS,2,FALSE))</f>
        <v/>
      </c>
    </row>
    <row r="460" spans="26:31" x14ac:dyDescent="0.25">
      <c r="Z460" s="88" t="str">
        <f>IF(LISTADO_NOM!K460="","",DATE(LISTADO_NOM!M460,LISTADO_NOM!L460,LISTADO_NOM!K460))</f>
        <v/>
      </c>
      <c r="AA460" s="88" t="str">
        <f>IFERROR(INDEX($Z$14:$Z$300, MATCH(0, INDEX(COUNTIF($AA$13:AA459, $Z$14:$Z$300), 0, 0), 0)), "")</f>
        <v/>
      </c>
      <c r="AB460" s="88" t="str">
        <f t="shared" si="6"/>
        <v/>
      </c>
      <c r="AC460">
        <v>447</v>
      </c>
      <c r="AE460" t="str">
        <f>IF(LISTADO_NOM!AK460="","",VLOOKUP(LISTADO_NOM!AK460,SEGUIMIENTOS,2,FALSE))</f>
        <v/>
      </c>
    </row>
    <row r="461" spans="26:31" x14ac:dyDescent="0.25">
      <c r="Z461" s="88" t="str">
        <f>IF(LISTADO_NOM!K461="","",DATE(LISTADO_NOM!M461,LISTADO_NOM!L461,LISTADO_NOM!K461))</f>
        <v/>
      </c>
      <c r="AA461" s="88" t="str">
        <f>IFERROR(INDEX($Z$14:$Z$300, MATCH(0, INDEX(COUNTIF($AA$13:AA460, $Z$14:$Z$300), 0, 0), 0)), "")</f>
        <v/>
      </c>
      <c r="AB461" s="88" t="str">
        <f t="shared" si="6"/>
        <v/>
      </c>
      <c r="AC461">
        <v>448</v>
      </c>
      <c r="AE461" t="str">
        <f>IF(LISTADO_NOM!AK461="","",VLOOKUP(LISTADO_NOM!AK461,SEGUIMIENTOS,2,FALSE))</f>
        <v/>
      </c>
    </row>
    <row r="462" spans="26:31" x14ac:dyDescent="0.25">
      <c r="Z462" s="88" t="str">
        <f>IF(LISTADO_NOM!K462="","",DATE(LISTADO_NOM!M462,LISTADO_NOM!L462,LISTADO_NOM!K462))</f>
        <v/>
      </c>
      <c r="AA462" s="88" t="str">
        <f>IFERROR(INDEX($Z$14:$Z$300, MATCH(0, INDEX(COUNTIF($AA$13:AA461, $Z$14:$Z$300), 0, 0), 0)), "")</f>
        <v/>
      </c>
      <c r="AB462" s="88" t="str">
        <f t="shared" ref="AB462:AB500" si="7">IF(AA462="","",SMALL(ORDENA_,AC462))</f>
        <v/>
      </c>
      <c r="AC462">
        <v>449</v>
      </c>
      <c r="AE462" t="str">
        <f>IF(LISTADO_NOM!AK462="","",VLOOKUP(LISTADO_NOM!AK462,SEGUIMIENTOS,2,FALSE))</f>
        <v/>
      </c>
    </row>
    <row r="463" spans="26:31" x14ac:dyDescent="0.25">
      <c r="Z463" s="88" t="str">
        <f>IF(LISTADO_NOM!K463="","",DATE(LISTADO_NOM!M463,LISTADO_NOM!L463,LISTADO_NOM!K463))</f>
        <v/>
      </c>
      <c r="AA463" s="88" t="str">
        <f>IFERROR(INDEX($Z$14:$Z$300, MATCH(0, INDEX(COUNTIF($AA$13:AA462, $Z$14:$Z$300), 0, 0), 0)), "")</f>
        <v/>
      </c>
      <c r="AB463" s="88" t="str">
        <f t="shared" si="7"/>
        <v/>
      </c>
      <c r="AC463">
        <v>450</v>
      </c>
      <c r="AE463" t="str">
        <f>IF(LISTADO_NOM!AK463="","",VLOOKUP(LISTADO_NOM!AK463,SEGUIMIENTOS,2,FALSE))</f>
        <v/>
      </c>
    </row>
    <row r="464" spans="26:31" x14ac:dyDescent="0.25">
      <c r="Z464" s="88" t="str">
        <f>IF(LISTADO_NOM!K464="","",DATE(LISTADO_NOM!M464,LISTADO_NOM!L464,LISTADO_NOM!K464))</f>
        <v/>
      </c>
      <c r="AA464" s="88" t="str">
        <f>IFERROR(INDEX($Z$14:$Z$300, MATCH(0, INDEX(COUNTIF($AA$13:AA463, $Z$14:$Z$300), 0, 0), 0)), "")</f>
        <v/>
      </c>
      <c r="AB464" s="88" t="str">
        <f t="shared" si="7"/>
        <v/>
      </c>
      <c r="AC464">
        <v>451</v>
      </c>
      <c r="AE464" t="str">
        <f>IF(LISTADO_NOM!AK464="","",VLOOKUP(LISTADO_NOM!AK464,SEGUIMIENTOS,2,FALSE))</f>
        <v/>
      </c>
    </row>
    <row r="465" spans="26:31" x14ac:dyDescent="0.25">
      <c r="Z465" s="88" t="str">
        <f>IF(LISTADO_NOM!K465="","",DATE(LISTADO_NOM!M465,LISTADO_NOM!L465,LISTADO_NOM!K465))</f>
        <v/>
      </c>
      <c r="AA465" s="88" t="str">
        <f>IFERROR(INDEX($Z$14:$Z$300, MATCH(0, INDEX(COUNTIF($AA$13:AA464, $Z$14:$Z$300), 0, 0), 0)), "")</f>
        <v/>
      </c>
      <c r="AB465" s="88" t="str">
        <f t="shared" si="7"/>
        <v/>
      </c>
      <c r="AC465">
        <v>452</v>
      </c>
      <c r="AE465" t="str">
        <f>IF(LISTADO_NOM!AK465="","",VLOOKUP(LISTADO_NOM!AK465,SEGUIMIENTOS,2,FALSE))</f>
        <v/>
      </c>
    </row>
    <row r="466" spans="26:31" x14ac:dyDescent="0.25">
      <c r="Z466" s="88" t="str">
        <f>IF(LISTADO_NOM!K466="","",DATE(LISTADO_NOM!M466,LISTADO_NOM!L466,LISTADO_NOM!K466))</f>
        <v/>
      </c>
      <c r="AA466" s="88" t="str">
        <f>IFERROR(INDEX($Z$14:$Z$300, MATCH(0, INDEX(COUNTIF($AA$13:AA465, $Z$14:$Z$300), 0, 0), 0)), "")</f>
        <v/>
      </c>
      <c r="AB466" s="88" t="str">
        <f t="shared" si="7"/>
        <v/>
      </c>
      <c r="AC466">
        <v>453</v>
      </c>
      <c r="AE466" t="str">
        <f>IF(LISTADO_NOM!AK466="","",VLOOKUP(LISTADO_NOM!AK466,SEGUIMIENTOS,2,FALSE))</f>
        <v/>
      </c>
    </row>
    <row r="467" spans="26:31" x14ac:dyDescent="0.25">
      <c r="Z467" s="88" t="str">
        <f>IF(LISTADO_NOM!K467="","",DATE(LISTADO_NOM!M467,LISTADO_NOM!L467,LISTADO_NOM!K467))</f>
        <v/>
      </c>
      <c r="AA467" s="88" t="str">
        <f>IFERROR(INDEX($Z$14:$Z$300, MATCH(0, INDEX(COUNTIF($AA$13:AA466, $Z$14:$Z$300), 0, 0), 0)), "")</f>
        <v/>
      </c>
      <c r="AB467" s="88" t="str">
        <f t="shared" si="7"/>
        <v/>
      </c>
      <c r="AC467">
        <v>454</v>
      </c>
      <c r="AE467" t="str">
        <f>IF(LISTADO_NOM!AK467="","",VLOOKUP(LISTADO_NOM!AK467,SEGUIMIENTOS,2,FALSE))</f>
        <v/>
      </c>
    </row>
    <row r="468" spans="26:31" x14ac:dyDescent="0.25">
      <c r="Z468" s="88" t="str">
        <f>IF(LISTADO_NOM!K468="","",DATE(LISTADO_NOM!M468,LISTADO_NOM!L468,LISTADO_NOM!K468))</f>
        <v/>
      </c>
      <c r="AA468" s="88" t="str">
        <f>IFERROR(INDEX($Z$14:$Z$300, MATCH(0, INDEX(COUNTIF($AA$13:AA467, $Z$14:$Z$300), 0, 0), 0)), "")</f>
        <v/>
      </c>
      <c r="AB468" s="88" t="str">
        <f t="shared" si="7"/>
        <v/>
      </c>
      <c r="AC468">
        <v>455</v>
      </c>
      <c r="AE468" t="str">
        <f>IF(LISTADO_NOM!AK468="","",VLOOKUP(LISTADO_NOM!AK468,SEGUIMIENTOS,2,FALSE))</f>
        <v/>
      </c>
    </row>
    <row r="469" spans="26:31" x14ac:dyDescent="0.25">
      <c r="Z469" s="88" t="str">
        <f>IF(LISTADO_NOM!K469="","",DATE(LISTADO_NOM!M469,LISTADO_NOM!L469,LISTADO_NOM!K469))</f>
        <v/>
      </c>
      <c r="AA469" s="88" t="str">
        <f>IFERROR(INDEX($Z$14:$Z$300, MATCH(0, INDEX(COUNTIF($AA$13:AA468, $Z$14:$Z$300), 0, 0), 0)), "")</f>
        <v/>
      </c>
      <c r="AB469" s="88" t="str">
        <f t="shared" si="7"/>
        <v/>
      </c>
      <c r="AC469">
        <v>456</v>
      </c>
      <c r="AE469" t="str">
        <f>IF(LISTADO_NOM!AK469="","",VLOOKUP(LISTADO_NOM!AK469,SEGUIMIENTOS,2,FALSE))</f>
        <v/>
      </c>
    </row>
    <row r="470" spans="26:31" x14ac:dyDescent="0.25">
      <c r="Z470" s="88" t="str">
        <f>IF(LISTADO_NOM!K470="","",DATE(LISTADO_NOM!M470,LISTADO_NOM!L470,LISTADO_NOM!K470))</f>
        <v/>
      </c>
      <c r="AA470" s="88" t="str">
        <f>IFERROR(INDEX($Z$14:$Z$300, MATCH(0, INDEX(COUNTIF($AA$13:AA469, $Z$14:$Z$300), 0, 0), 0)), "")</f>
        <v/>
      </c>
      <c r="AB470" s="88" t="str">
        <f t="shared" si="7"/>
        <v/>
      </c>
      <c r="AC470">
        <v>457</v>
      </c>
      <c r="AE470" t="str">
        <f>IF(LISTADO_NOM!AK470="","",VLOOKUP(LISTADO_NOM!AK470,SEGUIMIENTOS,2,FALSE))</f>
        <v/>
      </c>
    </row>
    <row r="471" spans="26:31" x14ac:dyDescent="0.25">
      <c r="Z471" s="88" t="str">
        <f>IF(LISTADO_NOM!K471="","",DATE(LISTADO_NOM!M471,LISTADO_NOM!L471,LISTADO_NOM!K471))</f>
        <v/>
      </c>
      <c r="AA471" s="88" t="str">
        <f>IFERROR(INDEX($Z$14:$Z$300, MATCH(0, INDEX(COUNTIF($AA$13:AA470, $Z$14:$Z$300), 0, 0), 0)), "")</f>
        <v/>
      </c>
      <c r="AB471" s="88" t="str">
        <f t="shared" si="7"/>
        <v/>
      </c>
      <c r="AC471">
        <v>458</v>
      </c>
      <c r="AE471" t="str">
        <f>IF(LISTADO_NOM!AK471="","",VLOOKUP(LISTADO_NOM!AK471,SEGUIMIENTOS,2,FALSE))</f>
        <v/>
      </c>
    </row>
    <row r="472" spans="26:31" x14ac:dyDescent="0.25">
      <c r="Z472" s="88" t="str">
        <f>IF(LISTADO_NOM!K472="","",DATE(LISTADO_NOM!M472,LISTADO_NOM!L472,LISTADO_NOM!K472))</f>
        <v/>
      </c>
      <c r="AA472" s="88" t="str">
        <f>IFERROR(INDEX($Z$14:$Z$300, MATCH(0, INDEX(COUNTIF($AA$13:AA471, $Z$14:$Z$300), 0, 0), 0)), "")</f>
        <v/>
      </c>
      <c r="AB472" s="88" t="str">
        <f t="shared" si="7"/>
        <v/>
      </c>
      <c r="AC472">
        <v>459</v>
      </c>
      <c r="AE472" t="str">
        <f>IF(LISTADO_NOM!AK472="","",VLOOKUP(LISTADO_NOM!AK472,SEGUIMIENTOS,2,FALSE))</f>
        <v/>
      </c>
    </row>
    <row r="473" spans="26:31" x14ac:dyDescent="0.25">
      <c r="Z473" s="88" t="str">
        <f>IF(LISTADO_NOM!K473="","",DATE(LISTADO_NOM!M473,LISTADO_NOM!L473,LISTADO_NOM!K473))</f>
        <v/>
      </c>
      <c r="AA473" s="88" t="str">
        <f>IFERROR(INDEX($Z$14:$Z$300, MATCH(0, INDEX(COUNTIF($AA$13:AA472, $Z$14:$Z$300), 0, 0), 0)), "")</f>
        <v/>
      </c>
      <c r="AB473" s="88" t="str">
        <f t="shared" si="7"/>
        <v/>
      </c>
      <c r="AC473">
        <v>460</v>
      </c>
      <c r="AE473" t="str">
        <f>IF(LISTADO_NOM!AK473="","",VLOOKUP(LISTADO_NOM!AK473,SEGUIMIENTOS,2,FALSE))</f>
        <v/>
      </c>
    </row>
    <row r="474" spans="26:31" x14ac:dyDescent="0.25">
      <c r="Z474" s="88" t="str">
        <f>IF(LISTADO_NOM!K474="","",DATE(LISTADO_NOM!M474,LISTADO_NOM!L474,LISTADO_NOM!K474))</f>
        <v/>
      </c>
      <c r="AA474" s="88" t="str">
        <f>IFERROR(INDEX($Z$14:$Z$300, MATCH(0, INDEX(COUNTIF($AA$13:AA473, $Z$14:$Z$300), 0, 0), 0)), "")</f>
        <v/>
      </c>
      <c r="AB474" s="88" t="str">
        <f t="shared" si="7"/>
        <v/>
      </c>
      <c r="AC474">
        <v>461</v>
      </c>
      <c r="AE474" t="str">
        <f>IF(LISTADO_NOM!AK474="","",VLOOKUP(LISTADO_NOM!AK474,SEGUIMIENTOS,2,FALSE))</f>
        <v/>
      </c>
    </row>
    <row r="475" spans="26:31" x14ac:dyDescent="0.25">
      <c r="Z475" s="88" t="str">
        <f>IF(LISTADO_NOM!K475="","",DATE(LISTADO_NOM!M475,LISTADO_NOM!L475,LISTADO_NOM!K475))</f>
        <v/>
      </c>
      <c r="AA475" s="88" t="str">
        <f>IFERROR(INDEX($Z$14:$Z$300, MATCH(0, INDEX(COUNTIF($AA$13:AA474, $Z$14:$Z$300), 0, 0), 0)), "")</f>
        <v/>
      </c>
      <c r="AB475" s="88" t="str">
        <f t="shared" si="7"/>
        <v/>
      </c>
      <c r="AC475">
        <v>462</v>
      </c>
      <c r="AE475" t="str">
        <f>IF(LISTADO_NOM!AK475="","",VLOOKUP(LISTADO_NOM!AK475,SEGUIMIENTOS,2,FALSE))</f>
        <v/>
      </c>
    </row>
    <row r="476" spans="26:31" x14ac:dyDescent="0.25">
      <c r="Z476" s="88" t="str">
        <f>IF(LISTADO_NOM!K476="","",DATE(LISTADO_NOM!M476,LISTADO_NOM!L476,LISTADO_NOM!K476))</f>
        <v/>
      </c>
      <c r="AA476" s="88" t="str">
        <f>IFERROR(INDEX($Z$14:$Z$300, MATCH(0, INDEX(COUNTIF($AA$13:AA475, $Z$14:$Z$300), 0, 0), 0)), "")</f>
        <v/>
      </c>
      <c r="AB476" s="88" t="str">
        <f t="shared" si="7"/>
        <v/>
      </c>
      <c r="AC476">
        <v>463</v>
      </c>
      <c r="AE476" t="str">
        <f>IF(LISTADO_NOM!AK476="","",VLOOKUP(LISTADO_NOM!AK476,SEGUIMIENTOS,2,FALSE))</f>
        <v/>
      </c>
    </row>
    <row r="477" spans="26:31" x14ac:dyDescent="0.25">
      <c r="Z477" s="88" t="str">
        <f>IF(LISTADO_NOM!K477="","",DATE(LISTADO_NOM!M477,LISTADO_NOM!L477,LISTADO_NOM!K477))</f>
        <v/>
      </c>
      <c r="AA477" s="88" t="str">
        <f>IFERROR(INDEX($Z$14:$Z$300, MATCH(0, INDEX(COUNTIF($AA$13:AA476, $Z$14:$Z$300), 0, 0), 0)), "")</f>
        <v/>
      </c>
      <c r="AB477" s="88" t="str">
        <f t="shared" si="7"/>
        <v/>
      </c>
      <c r="AC477">
        <v>464</v>
      </c>
      <c r="AE477" t="str">
        <f>IF(LISTADO_NOM!AK477="","",VLOOKUP(LISTADO_NOM!AK477,SEGUIMIENTOS,2,FALSE))</f>
        <v/>
      </c>
    </row>
    <row r="478" spans="26:31" x14ac:dyDescent="0.25">
      <c r="Z478" s="88" t="str">
        <f>IF(LISTADO_NOM!K478="","",DATE(LISTADO_NOM!M478,LISTADO_NOM!L478,LISTADO_NOM!K478))</f>
        <v/>
      </c>
      <c r="AA478" s="88" t="str">
        <f>IFERROR(INDEX($Z$14:$Z$300, MATCH(0, INDEX(COUNTIF($AA$13:AA477, $Z$14:$Z$300), 0, 0), 0)), "")</f>
        <v/>
      </c>
      <c r="AB478" s="88" t="str">
        <f t="shared" si="7"/>
        <v/>
      </c>
      <c r="AC478">
        <v>465</v>
      </c>
      <c r="AE478" t="str">
        <f>IF(LISTADO_NOM!AK478="","",VLOOKUP(LISTADO_NOM!AK478,SEGUIMIENTOS,2,FALSE))</f>
        <v/>
      </c>
    </row>
    <row r="479" spans="26:31" x14ac:dyDescent="0.25">
      <c r="Z479" s="88" t="str">
        <f>IF(LISTADO_NOM!K479="","",DATE(LISTADO_NOM!M479,LISTADO_NOM!L479,LISTADO_NOM!K479))</f>
        <v/>
      </c>
      <c r="AA479" s="88" t="str">
        <f>IFERROR(INDEX($Z$14:$Z$300, MATCH(0, INDEX(COUNTIF($AA$13:AA478, $Z$14:$Z$300), 0, 0), 0)), "")</f>
        <v/>
      </c>
      <c r="AB479" s="88" t="str">
        <f t="shared" si="7"/>
        <v/>
      </c>
      <c r="AC479">
        <v>466</v>
      </c>
      <c r="AE479" t="str">
        <f>IF(LISTADO_NOM!AK479="","",VLOOKUP(LISTADO_NOM!AK479,SEGUIMIENTOS,2,FALSE))</f>
        <v/>
      </c>
    </row>
    <row r="480" spans="26:31" x14ac:dyDescent="0.25">
      <c r="Z480" s="88" t="str">
        <f>IF(LISTADO_NOM!K480="","",DATE(LISTADO_NOM!M480,LISTADO_NOM!L480,LISTADO_NOM!K480))</f>
        <v/>
      </c>
      <c r="AA480" s="88" t="str">
        <f>IFERROR(INDEX($Z$14:$Z$300, MATCH(0, INDEX(COUNTIF($AA$13:AA479, $Z$14:$Z$300), 0, 0), 0)), "")</f>
        <v/>
      </c>
      <c r="AB480" s="88" t="str">
        <f t="shared" si="7"/>
        <v/>
      </c>
      <c r="AC480">
        <v>467</v>
      </c>
      <c r="AE480" t="str">
        <f>IF(LISTADO_NOM!AK480="","",VLOOKUP(LISTADO_NOM!AK480,SEGUIMIENTOS,2,FALSE))</f>
        <v/>
      </c>
    </row>
    <row r="481" spans="26:31" x14ac:dyDescent="0.25">
      <c r="Z481" s="88" t="str">
        <f>IF(LISTADO_NOM!K481="","",DATE(LISTADO_NOM!M481,LISTADO_NOM!L481,LISTADO_NOM!K481))</f>
        <v/>
      </c>
      <c r="AA481" s="88" t="str">
        <f>IFERROR(INDEX($Z$14:$Z$300, MATCH(0, INDEX(COUNTIF($AA$13:AA480, $Z$14:$Z$300), 0, 0), 0)), "")</f>
        <v/>
      </c>
      <c r="AB481" s="88" t="str">
        <f t="shared" si="7"/>
        <v/>
      </c>
      <c r="AC481">
        <v>468</v>
      </c>
      <c r="AE481" t="str">
        <f>IF(LISTADO_NOM!AK481="","",VLOOKUP(LISTADO_NOM!AK481,SEGUIMIENTOS,2,FALSE))</f>
        <v/>
      </c>
    </row>
    <row r="482" spans="26:31" x14ac:dyDescent="0.25">
      <c r="Z482" s="88" t="str">
        <f>IF(LISTADO_NOM!K482="","",DATE(LISTADO_NOM!M482,LISTADO_NOM!L482,LISTADO_NOM!K482))</f>
        <v/>
      </c>
      <c r="AA482" s="88" t="str">
        <f>IFERROR(INDEX($Z$14:$Z$300, MATCH(0, INDEX(COUNTIF($AA$13:AA481, $Z$14:$Z$300), 0, 0), 0)), "")</f>
        <v/>
      </c>
      <c r="AB482" s="88" t="str">
        <f t="shared" si="7"/>
        <v/>
      </c>
      <c r="AC482">
        <v>469</v>
      </c>
      <c r="AE482" t="str">
        <f>IF(LISTADO_NOM!AK482="","",VLOOKUP(LISTADO_NOM!AK482,SEGUIMIENTOS,2,FALSE))</f>
        <v/>
      </c>
    </row>
    <row r="483" spans="26:31" x14ac:dyDescent="0.25">
      <c r="Z483" s="88" t="str">
        <f>IF(LISTADO_NOM!K483="","",DATE(LISTADO_NOM!M483,LISTADO_NOM!L483,LISTADO_NOM!K483))</f>
        <v/>
      </c>
      <c r="AA483" s="88" t="str">
        <f>IFERROR(INDEX($Z$14:$Z$300, MATCH(0, INDEX(COUNTIF($AA$13:AA482, $Z$14:$Z$300), 0, 0), 0)), "")</f>
        <v/>
      </c>
      <c r="AB483" s="88" t="str">
        <f t="shared" si="7"/>
        <v/>
      </c>
      <c r="AC483">
        <v>470</v>
      </c>
      <c r="AE483" t="str">
        <f>IF(LISTADO_NOM!AK483="","",VLOOKUP(LISTADO_NOM!AK483,SEGUIMIENTOS,2,FALSE))</f>
        <v/>
      </c>
    </row>
    <row r="484" spans="26:31" x14ac:dyDescent="0.25">
      <c r="Z484" s="88" t="str">
        <f>IF(LISTADO_NOM!K484="","",DATE(LISTADO_NOM!M484,LISTADO_NOM!L484,LISTADO_NOM!K484))</f>
        <v/>
      </c>
      <c r="AA484" s="88" t="str">
        <f>IFERROR(INDEX($Z$14:$Z$300, MATCH(0, INDEX(COUNTIF($AA$13:AA483, $Z$14:$Z$300), 0, 0), 0)), "")</f>
        <v/>
      </c>
      <c r="AB484" s="88" t="str">
        <f t="shared" si="7"/>
        <v/>
      </c>
      <c r="AC484">
        <v>471</v>
      </c>
      <c r="AE484" t="str">
        <f>IF(LISTADO_NOM!AK484="","",VLOOKUP(LISTADO_NOM!AK484,SEGUIMIENTOS,2,FALSE))</f>
        <v/>
      </c>
    </row>
    <row r="485" spans="26:31" x14ac:dyDescent="0.25">
      <c r="Z485" s="88" t="str">
        <f>IF(LISTADO_NOM!K485="","",DATE(LISTADO_NOM!M485,LISTADO_NOM!L485,LISTADO_NOM!K485))</f>
        <v/>
      </c>
      <c r="AA485" s="88" t="str">
        <f>IFERROR(INDEX($Z$14:$Z$300, MATCH(0, INDEX(COUNTIF($AA$13:AA484, $Z$14:$Z$300), 0, 0), 0)), "")</f>
        <v/>
      </c>
      <c r="AB485" s="88" t="str">
        <f t="shared" si="7"/>
        <v/>
      </c>
      <c r="AC485">
        <v>472</v>
      </c>
      <c r="AE485" t="str">
        <f>IF(LISTADO_NOM!AK485="","",VLOOKUP(LISTADO_NOM!AK485,SEGUIMIENTOS,2,FALSE))</f>
        <v/>
      </c>
    </row>
    <row r="486" spans="26:31" x14ac:dyDescent="0.25">
      <c r="Z486" s="88" t="str">
        <f>IF(LISTADO_NOM!K486="","",DATE(LISTADO_NOM!M486,LISTADO_NOM!L486,LISTADO_NOM!K486))</f>
        <v/>
      </c>
      <c r="AA486" s="88" t="str">
        <f>IFERROR(INDEX($Z$14:$Z$300, MATCH(0, INDEX(COUNTIF($AA$13:AA485, $Z$14:$Z$300), 0, 0), 0)), "")</f>
        <v/>
      </c>
      <c r="AB486" s="88" t="str">
        <f t="shared" si="7"/>
        <v/>
      </c>
      <c r="AC486">
        <v>473</v>
      </c>
      <c r="AE486" t="str">
        <f>IF(LISTADO_NOM!AK486="","",VLOOKUP(LISTADO_NOM!AK486,SEGUIMIENTOS,2,FALSE))</f>
        <v/>
      </c>
    </row>
    <row r="487" spans="26:31" x14ac:dyDescent="0.25">
      <c r="Z487" s="88" t="str">
        <f>IF(LISTADO_NOM!K487="","",DATE(LISTADO_NOM!M487,LISTADO_NOM!L487,LISTADO_NOM!K487))</f>
        <v/>
      </c>
      <c r="AA487" s="88" t="str">
        <f>IFERROR(INDEX($Z$14:$Z$300, MATCH(0, INDEX(COUNTIF($AA$13:AA486, $Z$14:$Z$300), 0, 0), 0)), "")</f>
        <v/>
      </c>
      <c r="AB487" s="88" t="str">
        <f t="shared" si="7"/>
        <v/>
      </c>
      <c r="AC487">
        <v>474</v>
      </c>
      <c r="AE487" t="str">
        <f>IF(LISTADO_NOM!AK487="","",VLOOKUP(LISTADO_NOM!AK487,SEGUIMIENTOS,2,FALSE))</f>
        <v/>
      </c>
    </row>
    <row r="488" spans="26:31" x14ac:dyDescent="0.25">
      <c r="Z488" s="88" t="str">
        <f>IF(LISTADO_NOM!K488="","",DATE(LISTADO_NOM!M488,LISTADO_NOM!L488,LISTADO_NOM!K488))</f>
        <v/>
      </c>
      <c r="AA488" s="88" t="str">
        <f>IFERROR(INDEX($Z$14:$Z$300, MATCH(0, INDEX(COUNTIF($AA$13:AA487, $Z$14:$Z$300), 0, 0), 0)), "")</f>
        <v/>
      </c>
      <c r="AB488" s="88" t="str">
        <f t="shared" si="7"/>
        <v/>
      </c>
      <c r="AC488">
        <v>475</v>
      </c>
      <c r="AE488" t="str">
        <f>IF(LISTADO_NOM!AK488="","",VLOOKUP(LISTADO_NOM!AK488,SEGUIMIENTOS,2,FALSE))</f>
        <v/>
      </c>
    </row>
    <row r="489" spans="26:31" x14ac:dyDescent="0.25">
      <c r="Z489" s="88" t="str">
        <f>IF(LISTADO_NOM!K489="","",DATE(LISTADO_NOM!M489,LISTADO_NOM!L489,LISTADO_NOM!K489))</f>
        <v/>
      </c>
      <c r="AA489" s="88" t="str">
        <f>IFERROR(INDEX($Z$14:$Z$300, MATCH(0, INDEX(COUNTIF($AA$13:AA488, $Z$14:$Z$300), 0, 0), 0)), "")</f>
        <v/>
      </c>
      <c r="AB489" s="88" t="str">
        <f t="shared" si="7"/>
        <v/>
      </c>
      <c r="AC489">
        <v>476</v>
      </c>
      <c r="AE489" t="str">
        <f>IF(LISTADO_NOM!AK489="","",VLOOKUP(LISTADO_NOM!AK489,SEGUIMIENTOS,2,FALSE))</f>
        <v/>
      </c>
    </row>
    <row r="490" spans="26:31" x14ac:dyDescent="0.25">
      <c r="Z490" s="88" t="str">
        <f>IF(LISTADO_NOM!K490="","",DATE(LISTADO_NOM!M490,LISTADO_NOM!L490,LISTADO_NOM!K490))</f>
        <v/>
      </c>
      <c r="AA490" s="88" t="str">
        <f>IFERROR(INDEX($Z$14:$Z$300, MATCH(0, INDEX(COUNTIF($AA$13:AA489, $Z$14:$Z$300), 0, 0), 0)), "")</f>
        <v/>
      </c>
      <c r="AB490" s="88" t="str">
        <f t="shared" si="7"/>
        <v/>
      </c>
      <c r="AC490">
        <v>477</v>
      </c>
      <c r="AE490" t="str">
        <f>IF(LISTADO_NOM!AK490="","",VLOOKUP(LISTADO_NOM!AK490,SEGUIMIENTOS,2,FALSE))</f>
        <v/>
      </c>
    </row>
    <row r="491" spans="26:31" x14ac:dyDescent="0.25">
      <c r="Z491" s="88" t="str">
        <f>IF(LISTADO_NOM!K491="","",DATE(LISTADO_NOM!M491,LISTADO_NOM!L491,LISTADO_NOM!K491))</f>
        <v/>
      </c>
      <c r="AA491" s="88" t="str">
        <f>IFERROR(INDEX($Z$14:$Z$300, MATCH(0, INDEX(COUNTIF($AA$13:AA490, $Z$14:$Z$300), 0, 0), 0)), "")</f>
        <v/>
      </c>
      <c r="AB491" s="88" t="str">
        <f t="shared" si="7"/>
        <v/>
      </c>
      <c r="AC491">
        <v>478</v>
      </c>
      <c r="AE491" t="str">
        <f>IF(LISTADO_NOM!AK491="","",VLOOKUP(LISTADO_NOM!AK491,SEGUIMIENTOS,2,FALSE))</f>
        <v/>
      </c>
    </row>
    <row r="492" spans="26:31" x14ac:dyDescent="0.25">
      <c r="Z492" s="88" t="str">
        <f>IF(LISTADO_NOM!K492="","",DATE(LISTADO_NOM!M492,LISTADO_NOM!L492,LISTADO_NOM!K492))</f>
        <v/>
      </c>
      <c r="AA492" s="88" t="str">
        <f>IFERROR(INDEX($Z$14:$Z$300, MATCH(0, INDEX(COUNTIF($AA$13:AA491, $Z$14:$Z$300), 0, 0), 0)), "")</f>
        <v/>
      </c>
      <c r="AB492" s="88" t="str">
        <f t="shared" si="7"/>
        <v/>
      </c>
      <c r="AC492">
        <v>479</v>
      </c>
      <c r="AE492" t="str">
        <f>IF(LISTADO_NOM!AK492="","",VLOOKUP(LISTADO_NOM!AK492,SEGUIMIENTOS,2,FALSE))</f>
        <v/>
      </c>
    </row>
    <row r="493" spans="26:31" x14ac:dyDescent="0.25">
      <c r="Z493" s="88" t="str">
        <f>IF(LISTADO_NOM!K493="","",DATE(LISTADO_NOM!M493,LISTADO_NOM!L493,LISTADO_NOM!K493))</f>
        <v/>
      </c>
      <c r="AA493" s="88" t="str">
        <f>IFERROR(INDEX($Z$14:$Z$300, MATCH(0, INDEX(COUNTIF($AA$13:AA492, $Z$14:$Z$300), 0, 0), 0)), "")</f>
        <v/>
      </c>
      <c r="AB493" s="88" t="str">
        <f t="shared" si="7"/>
        <v/>
      </c>
      <c r="AC493">
        <v>480</v>
      </c>
      <c r="AE493" t="str">
        <f>IF(LISTADO_NOM!AK493="","",VLOOKUP(LISTADO_NOM!AK493,SEGUIMIENTOS,2,FALSE))</f>
        <v/>
      </c>
    </row>
    <row r="494" spans="26:31" x14ac:dyDescent="0.25">
      <c r="Z494" s="88" t="str">
        <f>IF(LISTADO_NOM!K494="","",DATE(LISTADO_NOM!M494,LISTADO_NOM!L494,LISTADO_NOM!K494))</f>
        <v/>
      </c>
      <c r="AA494" s="88" t="str">
        <f>IFERROR(INDEX($Z$14:$Z$300, MATCH(0, INDEX(COUNTIF($AA$13:AA493, $Z$14:$Z$300), 0, 0), 0)), "")</f>
        <v/>
      </c>
      <c r="AB494" s="88" t="str">
        <f t="shared" si="7"/>
        <v/>
      </c>
      <c r="AC494">
        <v>481</v>
      </c>
      <c r="AE494" t="str">
        <f>IF(LISTADO_NOM!AK494="","",VLOOKUP(LISTADO_NOM!AK494,SEGUIMIENTOS,2,FALSE))</f>
        <v/>
      </c>
    </row>
    <row r="495" spans="26:31" x14ac:dyDescent="0.25">
      <c r="Z495" s="88" t="str">
        <f>IF(LISTADO_NOM!K495="","",DATE(LISTADO_NOM!M495,LISTADO_NOM!L495,LISTADO_NOM!K495))</f>
        <v/>
      </c>
      <c r="AA495" s="88" t="str">
        <f>IFERROR(INDEX($Z$14:$Z$300, MATCH(0, INDEX(COUNTIF($AA$13:AA494, $Z$14:$Z$300), 0, 0), 0)), "")</f>
        <v/>
      </c>
      <c r="AB495" s="88" t="str">
        <f t="shared" si="7"/>
        <v/>
      </c>
      <c r="AC495">
        <v>482</v>
      </c>
      <c r="AE495" t="str">
        <f>IF(LISTADO_NOM!AK495="","",VLOOKUP(LISTADO_NOM!AK495,SEGUIMIENTOS,2,FALSE))</f>
        <v/>
      </c>
    </row>
    <row r="496" spans="26:31" x14ac:dyDescent="0.25">
      <c r="Z496" s="88" t="str">
        <f>IF(LISTADO_NOM!K496="","",DATE(LISTADO_NOM!M496,LISTADO_NOM!L496,LISTADO_NOM!K496))</f>
        <v/>
      </c>
      <c r="AA496" s="88" t="str">
        <f>IFERROR(INDEX($Z$14:$Z$300, MATCH(0, INDEX(COUNTIF($AA$13:AA495, $Z$14:$Z$300), 0, 0), 0)), "")</f>
        <v/>
      </c>
      <c r="AB496" s="88" t="str">
        <f t="shared" si="7"/>
        <v/>
      </c>
      <c r="AC496">
        <v>483</v>
      </c>
      <c r="AE496" t="str">
        <f>IF(LISTADO_NOM!AK496="","",VLOOKUP(LISTADO_NOM!AK496,SEGUIMIENTOS,2,FALSE))</f>
        <v/>
      </c>
    </row>
    <row r="497" spans="26:31" x14ac:dyDescent="0.25">
      <c r="Z497" s="88" t="str">
        <f>IF(LISTADO_NOM!K497="","",DATE(LISTADO_NOM!M497,LISTADO_NOM!L497,LISTADO_NOM!K497))</f>
        <v/>
      </c>
      <c r="AA497" s="88" t="str">
        <f>IFERROR(INDEX($Z$14:$Z$300, MATCH(0, INDEX(COUNTIF($AA$13:AA496, $Z$14:$Z$300), 0, 0), 0)), "")</f>
        <v/>
      </c>
      <c r="AB497" s="88" t="str">
        <f t="shared" si="7"/>
        <v/>
      </c>
      <c r="AC497">
        <v>484</v>
      </c>
      <c r="AE497" t="str">
        <f>IF(LISTADO_NOM!AK497="","",VLOOKUP(LISTADO_NOM!AK497,SEGUIMIENTOS,2,FALSE))</f>
        <v/>
      </c>
    </row>
    <row r="498" spans="26:31" x14ac:dyDescent="0.25">
      <c r="Z498" s="88" t="str">
        <f>IF(LISTADO_NOM!K498="","",DATE(LISTADO_NOM!M498,LISTADO_NOM!L498,LISTADO_NOM!K498))</f>
        <v/>
      </c>
      <c r="AA498" s="88" t="str">
        <f>IFERROR(INDEX($Z$14:$Z$300, MATCH(0, INDEX(COUNTIF($AA$13:AA497, $Z$14:$Z$300), 0, 0), 0)), "")</f>
        <v/>
      </c>
      <c r="AB498" s="88" t="str">
        <f t="shared" si="7"/>
        <v/>
      </c>
      <c r="AC498">
        <v>485</v>
      </c>
      <c r="AE498" t="str">
        <f>IF(LISTADO_NOM!AK498="","",VLOOKUP(LISTADO_NOM!AK498,SEGUIMIENTOS,2,FALSE))</f>
        <v/>
      </c>
    </row>
    <row r="499" spans="26:31" x14ac:dyDescent="0.25">
      <c r="Z499" s="88" t="str">
        <f>IF(LISTADO_NOM!K499="","",DATE(LISTADO_NOM!M499,LISTADO_NOM!L499,LISTADO_NOM!K499))</f>
        <v/>
      </c>
      <c r="AA499" s="88" t="str">
        <f>IFERROR(INDEX($Z$14:$Z$300, MATCH(0, INDEX(COUNTIF($AA$13:AA498, $Z$14:$Z$300), 0, 0), 0)), "")</f>
        <v/>
      </c>
      <c r="AB499" s="88" t="str">
        <f t="shared" si="7"/>
        <v/>
      </c>
      <c r="AC499">
        <v>486</v>
      </c>
      <c r="AE499" t="str">
        <f>IF(LISTADO_NOM!AK499="","",VLOOKUP(LISTADO_NOM!AK499,SEGUIMIENTOS,2,FALSE))</f>
        <v/>
      </c>
    </row>
    <row r="500" spans="26:31" x14ac:dyDescent="0.25">
      <c r="Z500" s="88" t="str">
        <f>IF(LISTADO_NOM!K500="","",DATE(LISTADO_NOM!M500,LISTADO_NOM!L500,LISTADO_NOM!K500))</f>
        <v/>
      </c>
      <c r="AA500" s="88" t="str">
        <f>IFERROR(INDEX($Z$14:$Z$300, MATCH(0, INDEX(COUNTIF($AA$13:AA499, $Z$14:$Z$300), 0, 0), 0)), "")</f>
        <v/>
      </c>
      <c r="AB500" s="88" t="str">
        <f t="shared" si="7"/>
        <v/>
      </c>
      <c r="AC500">
        <v>487</v>
      </c>
      <c r="AE500" t="str">
        <f>IF(LISTADO_NOM!AK500="","",VLOOKUP(LISTADO_NOM!AK500,SEGUIMIENTOS,2,FALSE))</f>
        <v/>
      </c>
    </row>
    <row r="501" spans="26:31" x14ac:dyDescent="0.25">
      <c r="Z501" s="88"/>
    </row>
    <row r="502" spans="26:31" x14ac:dyDescent="0.25">
      <c r="Z502" s="88"/>
    </row>
    <row r="503" spans="26:31" x14ac:dyDescent="0.25">
      <c r="Z503" s="88"/>
    </row>
    <row r="504" spans="26:31" x14ac:dyDescent="0.25">
      <c r="Z504" s="88"/>
    </row>
    <row r="505" spans="26:31" x14ac:dyDescent="0.25">
      <c r="Z505" s="88"/>
    </row>
    <row r="506" spans="26:31" x14ac:dyDescent="0.25">
      <c r="Z506" s="88"/>
    </row>
    <row r="507" spans="26:31" x14ac:dyDescent="0.25">
      <c r="Z507" s="88"/>
    </row>
    <row r="508" spans="26:31" x14ac:dyDescent="0.25">
      <c r="Z508" s="88"/>
    </row>
    <row r="509" spans="26:31" x14ac:dyDescent="0.25">
      <c r="Z509" s="88"/>
    </row>
    <row r="510" spans="26:31" x14ac:dyDescent="0.25">
      <c r="Z510" s="88"/>
    </row>
    <row r="511" spans="26:31" x14ac:dyDescent="0.25">
      <c r="Z511" s="88"/>
    </row>
    <row r="512" spans="26:31" x14ac:dyDescent="0.25">
      <c r="Z512" s="88"/>
    </row>
    <row r="513" spans="26:26" x14ac:dyDescent="0.25">
      <c r="Z513" s="88"/>
    </row>
    <row r="514" spans="26:26" x14ac:dyDescent="0.25">
      <c r="Z514" s="88"/>
    </row>
    <row r="515" spans="26:26" x14ac:dyDescent="0.25">
      <c r="Z515" s="88"/>
    </row>
    <row r="516" spans="26:26" x14ac:dyDescent="0.25">
      <c r="Z516" s="88"/>
    </row>
    <row r="517" spans="26:26" x14ac:dyDescent="0.25">
      <c r="Z517" s="88"/>
    </row>
    <row r="518" spans="26:26" x14ac:dyDescent="0.25">
      <c r="Z518" s="88"/>
    </row>
    <row r="519" spans="26:26" x14ac:dyDescent="0.25">
      <c r="Z519" s="88"/>
    </row>
    <row r="520" spans="26:26" x14ac:dyDescent="0.25">
      <c r="Z520" s="88"/>
    </row>
    <row r="521" spans="26:26" x14ac:dyDescent="0.25">
      <c r="Z521" s="88"/>
    </row>
    <row r="522" spans="26:26" x14ac:dyDescent="0.25">
      <c r="Z522" s="88"/>
    </row>
    <row r="523" spans="26:26" x14ac:dyDescent="0.25">
      <c r="Z523" s="88"/>
    </row>
    <row r="524" spans="26:26" x14ac:dyDescent="0.25">
      <c r="Z524" s="88"/>
    </row>
    <row r="525" spans="26:26" x14ac:dyDescent="0.25">
      <c r="Z525" s="88"/>
    </row>
    <row r="526" spans="26:26" x14ac:dyDescent="0.25">
      <c r="Z526" s="88"/>
    </row>
    <row r="527" spans="26:26" x14ac:dyDescent="0.25">
      <c r="Z527" s="88"/>
    </row>
    <row r="528" spans="26:26" x14ac:dyDescent="0.25">
      <c r="Z528" s="88"/>
    </row>
    <row r="529" spans="26:26" x14ac:dyDescent="0.25">
      <c r="Z529" s="88"/>
    </row>
    <row r="530" spans="26:26" x14ac:dyDescent="0.25">
      <c r="Z530" s="88"/>
    </row>
    <row r="531" spans="26:26" x14ac:dyDescent="0.25">
      <c r="Z531" s="88"/>
    </row>
    <row r="532" spans="26:26" x14ac:dyDescent="0.25">
      <c r="Z532" s="88"/>
    </row>
    <row r="533" spans="26:26" x14ac:dyDescent="0.25">
      <c r="Z533" s="88"/>
    </row>
    <row r="534" spans="26:26" x14ac:dyDescent="0.25">
      <c r="Z534" s="88"/>
    </row>
    <row r="535" spans="26:26" x14ac:dyDescent="0.25">
      <c r="Z535" s="88"/>
    </row>
    <row r="536" spans="26:26" x14ac:dyDescent="0.25">
      <c r="Z536" s="88"/>
    </row>
    <row r="537" spans="26:26" x14ac:dyDescent="0.25">
      <c r="Z537" s="88"/>
    </row>
    <row r="538" spans="26:26" x14ac:dyDescent="0.25">
      <c r="Z538" s="88"/>
    </row>
    <row r="539" spans="26:26" x14ac:dyDescent="0.25">
      <c r="Z539" s="88"/>
    </row>
    <row r="540" spans="26:26" x14ac:dyDescent="0.25">
      <c r="Z540" s="88"/>
    </row>
    <row r="541" spans="26:26" x14ac:dyDescent="0.25">
      <c r="Z541" s="88"/>
    </row>
    <row r="542" spans="26:26" x14ac:dyDescent="0.25">
      <c r="Z542" s="88"/>
    </row>
    <row r="543" spans="26:26" x14ac:dyDescent="0.25">
      <c r="Z543" s="88"/>
    </row>
    <row r="544" spans="26:26" x14ac:dyDescent="0.25">
      <c r="Z544" s="88"/>
    </row>
    <row r="545" spans="26:26" x14ac:dyDescent="0.25">
      <c r="Z545" s="88"/>
    </row>
    <row r="546" spans="26:26" x14ac:dyDescent="0.25">
      <c r="Z546" s="88"/>
    </row>
    <row r="547" spans="26:26" x14ac:dyDescent="0.25">
      <c r="Z547" s="88"/>
    </row>
    <row r="548" spans="26:26" x14ac:dyDescent="0.25">
      <c r="Z548" s="88"/>
    </row>
    <row r="549" spans="26:26" x14ac:dyDescent="0.25">
      <c r="Z549" s="88"/>
    </row>
    <row r="550" spans="26:26" x14ac:dyDescent="0.25">
      <c r="Z550" s="88"/>
    </row>
    <row r="551" spans="26:26" x14ac:dyDescent="0.25">
      <c r="Z551" s="88"/>
    </row>
    <row r="552" spans="26:26" x14ac:dyDescent="0.25">
      <c r="Z552" s="88"/>
    </row>
    <row r="553" spans="26:26" x14ac:dyDescent="0.25">
      <c r="Z553" s="88"/>
    </row>
    <row r="554" spans="26:26" x14ac:dyDescent="0.25">
      <c r="Z554" s="88"/>
    </row>
    <row r="555" spans="26:26" x14ac:dyDescent="0.25">
      <c r="Z555" s="88"/>
    </row>
    <row r="556" spans="26:26" x14ac:dyDescent="0.25">
      <c r="Z556" s="88"/>
    </row>
    <row r="557" spans="26:26" x14ac:dyDescent="0.25">
      <c r="Z557" s="88"/>
    </row>
    <row r="558" spans="26:26" x14ac:dyDescent="0.25">
      <c r="Z558" s="88"/>
    </row>
    <row r="559" spans="26:26" x14ac:dyDescent="0.25">
      <c r="Z559" s="88"/>
    </row>
    <row r="560" spans="26:26" x14ac:dyDescent="0.25">
      <c r="Z560" s="88"/>
    </row>
    <row r="561" spans="26:26" x14ac:dyDescent="0.25">
      <c r="Z561" s="88"/>
    </row>
    <row r="562" spans="26:26" x14ac:dyDescent="0.25">
      <c r="Z562" s="88"/>
    </row>
    <row r="563" spans="26:26" x14ac:dyDescent="0.25">
      <c r="Z563" s="88"/>
    </row>
    <row r="564" spans="26:26" x14ac:dyDescent="0.25">
      <c r="Z564" s="88"/>
    </row>
    <row r="565" spans="26:26" x14ac:dyDescent="0.25">
      <c r="Z565" s="88"/>
    </row>
    <row r="566" spans="26:26" x14ac:dyDescent="0.25">
      <c r="Z566" s="88"/>
    </row>
    <row r="567" spans="26:26" x14ac:dyDescent="0.25">
      <c r="Z567" s="88"/>
    </row>
    <row r="568" spans="26:26" x14ac:dyDescent="0.25">
      <c r="Z568" s="88"/>
    </row>
    <row r="569" spans="26:26" x14ac:dyDescent="0.25">
      <c r="Z569" s="88"/>
    </row>
    <row r="570" spans="26:26" x14ac:dyDescent="0.25">
      <c r="Z570" s="88"/>
    </row>
    <row r="571" spans="26:26" x14ac:dyDescent="0.25">
      <c r="Z571" s="88"/>
    </row>
    <row r="572" spans="26:26" x14ac:dyDescent="0.25">
      <c r="Z572" s="88"/>
    </row>
    <row r="573" spans="26:26" x14ac:dyDescent="0.25">
      <c r="Z573" s="88"/>
    </row>
    <row r="574" spans="26:26" x14ac:dyDescent="0.25">
      <c r="Z574" s="88"/>
    </row>
    <row r="575" spans="26:26" x14ac:dyDescent="0.25">
      <c r="Z575" s="88"/>
    </row>
    <row r="576" spans="26:26" x14ac:dyDescent="0.25">
      <c r="Z576" s="88"/>
    </row>
    <row r="577" spans="26:26" x14ac:dyDescent="0.25">
      <c r="Z577" s="88"/>
    </row>
    <row r="578" spans="26:26" x14ac:dyDescent="0.25">
      <c r="Z578" s="88"/>
    </row>
    <row r="579" spans="26:26" x14ac:dyDescent="0.25">
      <c r="Z579" s="88"/>
    </row>
    <row r="580" spans="26:26" x14ac:dyDescent="0.25">
      <c r="Z580" s="88"/>
    </row>
    <row r="581" spans="26:26" x14ac:dyDescent="0.25">
      <c r="Z581" s="88"/>
    </row>
    <row r="582" spans="26:26" x14ac:dyDescent="0.25">
      <c r="Z582" s="88"/>
    </row>
    <row r="583" spans="26:26" x14ac:dyDescent="0.25">
      <c r="Z583" s="88"/>
    </row>
    <row r="584" spans="26:26" x14ac:dyDescent="0.25">
      <c r="Z584" s="88"/>
    </row>
    <row r="585" spans="26:26" x14ac:dyDescent="0.25">
      <c r="Z585" s="88"/>
    </row>
    <row r="586" spans="26:26" x14ac:dyDescent="0.25">
      <c r="Z586" s="88"/>
    </row>
    <row r="587" spans="26:26" x14ac:dyDescent="0.25">
      <c r="Z587" s="88"/>
    </row>
    <row r="588" spans="26:26" x14ac:dyDescent="0.25">
      <c r="Z588" s="88"/>
    </row>
    <row r="589" spans="26:26" x14ac:dyDescent="0.25">
      <c r="Z589" s="88"/>
    </row>
    <row r="590" spans="26:26" x14ac:dyDescent="0.25">
      <c r="Z590" s="88"/>
    </row>
    <row r="591" spans="26:26" x14ac:dyDescent="0.25">
      <c r="Z591" s="88"/>
    </row>
    <row r="592" spans="26:26" x14ac:dyDescent="0.25">
      <c r="Z592" s="88"/>
    </row>
    <row r="593" spans="26:26" x14ac:dyDescent="0.25">
      <c r="Z593" s="88"/>
    </row>
    <row r="594" spans="26:26" x14ac:dyDescent="0.25">
      <c r="Z594" s="88"/>
    </row>
    <row r="595" spans="26:26" x14ac:dyDescent="0.25">
      <c r="Z595" s="88"/>
    </row>
    <row r="596" spans="26:26" x14ac:dyDescent="0.25">
      <c r="Z596" s="88"/>
    </row>
    <row r="597" spans="26:26" x14ac:dyDescent="0.25">
      <c r="Z597" s="88"/>
    </row>
    <row r="598" spans="26:26" x14ac:dyDescent="0.25">
      <c r="Z598" s="88"/>
    </row>
    <row r="599" spans="26:26" x14ac:dyDescent="0.25">
      <c r="Z599" s="88"/>
    </row>
    <row r="600" spans="26:26" x14ac:dyDescent="0.25">
      <c r="Z600" s="88"/>
    </row>
    <row r="601" spans="26:26" x14ac:dyDescent="0.25">
      <c r="Z601" s="88"/>
    </row>
    <row r="602" spans="26:26" x14ac:dyDescent="0.25">
      <c r="Z602" s="88"/>
    </row>
    <row r="603" spans="26:26" x14ac:dyDescent="0.25">
      <c r="Z603" s="88"/>
    </row>
    <row r="604" spans="26:26" x14ac:dyDescent="0.25">
      <c r="Z604" s="88"/>
    </row>
    <row r="605" spans="26:26" x14ac:dyDescent="0.25">
      <c r="Z605" s="88"/>
    </row>
    <row r="606" spans="26:26" x14ac:dyDescent="0.25">
      <c r="Z606" s="88"/>
    </row>
    <row r="607" spans="26:26" x14ac:dyDescent="0.25">
      <c r="Z607" s="88"/>
    </row>
    <row r="608" spans="26:26" x14ac:dyDescent="0.25">
      <c r="Z608" s="88"/>
    </row>
    <row r="609" spans="26:26" x14ac:dyDescent="0.25">
      <c r="Z609" s="88"/>
    </row>
    <row r="610" spans="26:26" x14ac:dyDescent="0.25">
      <c r="Z610" s="88"/>
    </row>
    <row r="611" spans="26:26" x14ac:dyDescent="0.25">
      <c r="Z611" s="88"/>
    </row>
    <row r="612" spans="26:26" x14ac:dyDescent="0.25">
      <c r="Z612" s="88"/>
    </row>
    <row r="613" spans="26:26" x14ac:dyDescent="0.25">
      <c r="Z613" s="88"/>
    </row>
    <row r="614" spans="26:26" x14ac:dyDescent="0.25">
      <c r="Z614" s="88"/>
    </row>
    <row r="615" spans="26:26" x14ac:dyDescent="0.25">
      <c r="Z615" s="88"/>
    </row>
    <row r="616" spans="26:26" x14ac:dyDescent="0.25">
      <c r="Z616" s="88"/>
    </row>
    <row r="617" spans="26:26" x14ac:dyDescent="0.25">
      <c r="Z617" s="88"/>
    </row>
    <row r="618" spans="26:26" x14ac:dyDescent="0.25">
      <c r="Z618" s="88"/>
    </row>
    <row r="619" spans="26:26" x14ac:dyDescent="0.25">
      <c r="Z619" s="88"/>
    </row>
    <row r="620" spans="26:26" x14ac:dyDescent="0.25">
      <c r="Z620" s="88"/>
    </row>
    <row r="621" spans="26:26" x14ac:dyDescent="0.25">
      <c r="Z621" s="88"/>
    </row>
    <row r="622" spans="26:26" x14ac:dyDescent="0.25">
      <c r="Z622" s="88"/>
    </row>
    <row r="623" spans="26:26" x14ac:dyDescent="0.25">
      <c r="Z623" s="88"/>
    </row>
    <row r="624" spans="26:26" x14ac:dyDescent="0.25">
      <c r="Z624" s="88"/>
    </row>
    <row r="625" spans="26:26" x14ac:dyDescent="0.25">
      <c r="Z625" s="88"/>
    </row>
    <row r="626" spans="26:26" x14ac:dyDescent="0.25">
      <c r="Z626" s="88"/>
    </row>
    <row r="627" spans="26:26" x14ac:dyDescent="0.25">
      <c r="Z627" s="88"/>
    </row>
    <row r="628" spans="26:26" x14ac:dyDescent="0.25">
      <c r="Z628" s="88"/>
    </row>
    <row r="629" spans="26:26" x14ac:dyDescent="0.25">
      <c r="Z629" s="88"/>
    </row>
    <row r="630" spans="26:26" x14ac:dyDescent="0.25">
      <c r="Z630" s="88"/>
    </row>
    <row r="631" spans="26:26" x14ac:dyDescent="0.25">
      <c r="Z631" s="88"/>
    </row>
    <row r="632" spans="26:26" x14ac:dyDescent="0.25">
      <c r="Z632" s="88"/>
    </row>
    <row r="633" spans="26:26" x14ac:dyDescent="0.25">
      <c r="Z633" s="88"/>
    </row>
    <row r="634" spans="26:26" x14ac:dyDescent="0.25">
      <c r="Z634" s="88"/>
    </row>
    <row r="635" spans="26:26" x14ac:dyDescent="0.25">
      <c r="Z635" s="88"/>
    </row>
    <row r="636" spans="26:26" x14ac:dyDescent="0.25">
      <c r="Z636" s="88"/>
    </row>
    <row r="637" spans="26:26" x14ac:dyDescent="0.25">
      <c r="Z637" s="88"/>
    </row>
    <row r="638" spans="26:26" x14ac:dyDescent="0.25">
      <c r="Z638" s="88"/>
    </row>
    <row r="639" spans="26:26" x14ac:dyDescent="0.25">
      <c r="Z639" s="88"/>
    </row>
    <row r="640" spans="26:26" x14ac:dyDescent="0.25">
      <c r="Z640" s="88"/>
    </row>
    <row r="641" spans="26:26" x14ac:dyDescent="0.25">
      <c r="Z641" s="88"/>
    </row>
    <row r="642" spans="26:26" x14ac:dyDescent="0.25">
      <c r="Z642" s="88"/>
    </row>
    <row r="643" spans="26:26" x14ac:dyDescent="0.25">
      <c r="Z643" s="88"/>
    </row>
    <row r="644" spans="26:26" x14ac:dyDescent="0.25">
      <c r="Z644" s="88"/>
    </row>
    <row r="645" spans="26:26" x14ac:dyDescent="0.25">
      <c r="Z645" s="88"/>
    </row>
    <row r="646" spans="26:26" x14ac:dyDescent="0.25">
      <c r="Z646" s="88"/>
    </row>
    <row r="647" spans="26:26" x14ac:dyDescent="0.25">
      <c r="Z647" s="88"/>
    </row>
    <row r="648" spans="26:26" x14ac:dyDescent="0.25">
      <c r="Z648" s="88"/>
    </row>
    <row r="649" spans="26:26" x14ac:dyDescent="0.25">
      <c r="Z649" s="88"/>
    </row>
    <row r="650" spans="26:26" x14ac:dyDescent="0.25">
      <c r="Z650" s="88"/>
    </row>
    <row r="651" spans="26:26" x14ac:dyDescent="0.25">
      <c r="Z651" s="88"/>
    </row>
    <row r="652" spans="26:26" x14ac:dyDescent="0.25">
      <c r="Z652" s="88"/>
    </row>
    <row r="653" spans="26:26" x14ac:dyDescent="0.25">
      <c r="Z653" s="88"/>
    </row>
    <row r="654" spans="26:26" x14ac:dyDescent="0.25">
      <c r="Z654" s="88"/>
    </row>
    <row r="655" spans="26:26" x14ac:dyDescent="0.25">
      <c r="Z655" s="88"/>
    </row>
    <row r="656" spans="26:26" x14ac:dyDescent="0.25">
      <c r="Z656" s="88"/>
    </row>
    <row r="657" spans="26:26" x14ac:dyDescent="0.25">
      <c r="Z657" s="88"/>
    </row>
    <row r="658" spans="26:26" x14ac:dyDescent="0.25">
      <c r="Z658" s="88"/>
    </row>
    <row r="659" spans="26:26" x14ac:dyDescent="0.25">
      <c r="Z659" s="88"/>
    </row>
    <row r="660" spans="26:26" x14ac:dyDescent="0.25">
      <c r="Z660" s="88"/>
    </row>
    <row r="661" spans="26:26" x14ac:dyDescent="0.25">
      <c r="Z661" s="88"/>
    </row>
    <row r="662" spans="26:26" x14ac:dyDescent="0.25">
      <c r="Z662" s="88"/>
    </row>
    <row r="663" spans="26:26" x14ac:dyDescent="0.25">
      <c r="Z663" s="88"/>
    </row>
    <row r="664" spans="26:26" x14ac:dyDescent="0.25">
      <c r="Z664" s="88"/>
    </row>
    <row r="665" spans="26:26" x14ac:dyDescent="0.25">
      <c r="Z665" s="88"/>
    </row>
    <row r="666" spans="26:26" x14ac:dyDescent="0.25">
      <c r="Z666" s="88"/>
    </row>
    <row r="667" spans="26:26" x14ac:dyDescent="0.25">
      <c r="Z667" s="88"/>
    </row>
    <row r="668" spans="26:26" x14ac:dyDescent="0.25">
      <c r="Z668" s="88"/>
    </row>
    <row r="669" spans="26:26" x14ac:dyDescent="0.25">
      <c r="Z669" s="88"/>
    </row>
    <row r="670" spans="26:26" x14ac:dyDescent="0.25">
      <c r="Z670" s="88"/>
    </row>
    <row r="671" spans="26:26" x14ac:dyDescent="0.25">
      <c r="Z671" s="88"/>
    </row>
    <row r="672" spans="26:26" x14ac:dyDescent="0.25">
      <c r="Z672" s="88"/>
    </row>
    <row r="673" spans="26:26" x14ac:dyDescent="0.25">
      <c r="Z673" s="88"/>
    </row>
    <row r="674" spans="26:26" x14ac:dyDescent="0.25">
      <c r="Z674" s="88"/>
    </row>
    <row r="675" spans="26:26" x14ac:dyDescent="0.25">
      <c r="Z675" s="88"/>
    </row>
    <row r="676" spans="26:26" x14ac:dyDescent="0.25">
      <c r="Z676" s="88"/>
    </row>
    <row r="677" spans="26:26" x14ac:dyDescent="0.25">
      <c r="Z677" s="88"/>
    </row>
    <row r="678" spans="26:26" x14ac:dyDescent="0.25">
      <c r="Z678" s="88"/>
    </row>
    <row r="679" spans="26:26" x14ac:dyDescent="0.25">
      <c r="Z679" s="88"/>
    </row>
    <row r="680" spans="26:26" x14ac:dyDescent="0.25">
      <c r="Z680" s="88"/>
    </row>
    <row r="681" spans="26:26" x14ac:dyDescent="0.25">
      <c r="Z681" s="88"/>
    </row>
    <row r="682" spans="26:26" x14ac:dyDescent="0.25">
      <c r="Z682" s="88"/>
    </row>
    <row r="683" spans="26:26" x14ac:dyDescent="0.25">
      <c r="Z683" s="88"/>
    </row>
    <row r="684" spans="26:26" x14ac:dyDescent="0.25">
      <c r="Z684" s="88"/>
    </row>
    <row r="685" spans="26:26" x14ac:dyDescent="0.25">
      <c r="Z685" s="88"/>
    </row>
    <row r="686" spans="26:26" x14ac:dyDescent="0.25">
      <c r="Z686" s="88"/>
    </row>
    <row r="687" spans="26:26" x14ac:dyDescent="0.25">
      <c r="Z687" s="88"/>
    </row>
    <row r="688" spans="26:26" x14ac:dyDescent="0.25">
      <c r="Z688" s="88"/>
    </row>
    <row r="689" spans="26:26" x14ac:dyDescent="0.25">
      <c r="Z689" s="88"/>
    </row>
    <row r="690" spans="26:26" x14ac:dyDescent="0.25">
      <c r="Z690" s="88"/>
    </row>
    <row r="691" spans="26:26" x14ac:dyDescent="0.25">
      <c r="Z691" s="88"/>
    </row>
    <row r="692" spans="26:26" x14ac:dyDescent="0.25">
      <c r="Z692" s="88"/>
    </row>
    <row r="693" spans="26:26" x14ac:dyDescent="0.25">
      <c r="Z693" s="88"/>
    </row>
    <row r="694" spans="26:26" x14ac:dyDescent="0.25">
      <c r="Z694" s="88"/>
    </row>
    <row r="695" spans="26:26" x14ac:dyDescent="0.25">
      <c r="Z695" s="88"/>
    </row>
    <row r="696" spans="26:26" x14ac:dyDescent="0.25">
      <c r="Z696" s="88"/>
    </row>
    <row r="697" spans="26:26" x14ac:dyDescent="0.25">
      <c r="Z697" s="88"/>
    </row>
    <row r="698" spans="26:26" x14ac:dyDescent="0.25">
      <c r="Z698" s="88"/>
    </row>
    <row r="699" spans="26:26" x14ac:dyDescent="0.25">
      <c r="Z699" s="88"/>
    </row>
    <row r="700" spans="26:26" x14ac:dyDescent="0.25">
      <c r="Z700" s="88"/>
    </row>
    <row r="701" spans="26:26" x14ac:dyDescent="0.25">
      <c r="Z701" s="88"/>
    </row>
    <row r="702" spans="26:26" x14ac:dyDescent="0.25">
      <c r="Z702" s="88"/>
    </row>
    <row r="703" spans="26:26" x14ac:dyDescent="0.25">
      <c r="Z703" s="88"/>
    </row>
    <row r="704" spans="26:26" x14ac:dyDescent="0.25">
      <c r="Z704" s="88"/>
    </row>
    <row r="705" spans="26:26" x14ac:dyDescent="0.25">
      <c r="Z705" s="88"/>
    </row>
    <row r="706" spans="26:26" x14ac:dyDescent="0.25">
      <c r="Z706" s="88"/>
    </row>
    <row r="707" spans="26:26" x14ac:dyDescent="0.25">
      <c r="Z707" s="88"/>
    </row>
    <row r="708" spans="26:26" x14ac:dyDescent="0.25">
      <c r="Z708" s="88"/>
    </row>
    <row r="709" spans="26:26" x14ac:dyDescent="0.25">
      <c r="Z709" s="88"/>
    </row>
    <row r="710" spans="26:26" x14ac:dyDescent="0.25">
      <c r="Z710" s="88"/>
    </row>
    <row r="711" spans="26:26" x14ac:dyDescent="0.25">
      <c r="Z711" s="88"/>
    </row>
    <row r="712" spans="26:26" x14ac:dyDescent="0.25">
      <c r="Z712" s="88"/>
    </row>
    <row r="713" spans="26:26" x14ac:dyDescent="0.25">
      <c r="Z713" s="88"/>
    </row>
    <row r="714" spans="26:26" x14ac:dyDescent="0.25">
      <c r="Z714" s="88"/>
    </row>
    <row r="715" spans="26:26" x14ac:dyDescent="0.25">
      <c r="Z715" s="88"/>
    </row>
    <row r="716" spans="26:26" x14ac:dyDescent="0.25">
      <c r="Z716" s="88"/>
    </row>
    <row r="717" spans="26:26" x14ac:dyDescent="0.25">
      <c r="Z717" s="88"/>
    </row>
    <row r="718" spans="26:26" x14ac:dyDescent="0.25">
      <c r="Z718" s="88"/>
    </row>
    <row r="719" spans="26:26" x14ac:dyDescent="0.25">
      <c r="Z719" s="88"/>
    </row>
    <row r="720" spans="26:26" x14ac:dyDescent="0.25">
      <c r="Z720" s="88"/>
    </row>
    <row r="721" spans="26:26" x14ac:dyDescent="0.25">
      <c r="Z721" s="88"/>
    </row>
    <row r="722" spans="26:26" x14ac:dyDescent="0.25">
      <c r="Z722" s="88"/>
    </row>
    <row r="723" spans="26:26" x14ac:dyDescent="0.25">
      <c r="Z723" s="88"/>
    </row>
    <row r="724" spans="26:26" x14ac:dyDescent="0.25">
      <c r="Z724" s="88"/>
    </row>
    <row r="725" spans="26:26" x14ac:dyDescent="0.25">
      <c r="Z725" s="88"/>
    </row>
    <row r="726" spans="26:26" x14ac:dyDescent="0.25">
      <c r="Z726" s="88"/>
    </row>
    <row r="727" spans="26:26" x14ac:dyDescent="0.25">
      <c r="Z727" s="88"/>
    </row>
    <row r="728" spans="26:26" x14ac:dyDescent="0.25">
      <c r="Z728" s="88"/>
    </row>
    <row r="729" spans="26:26" x14ac:dyDescent="0.25">
      <c r="Z729" s="88"/>
    </row>
    <row r="730" spans="26:26" x14ac:dyDescent="0.25">
      <c r="Z730" s="88"/>
    </row>
    <row r="731" spans="26:26" x14ac:dyDescent="0.25">
      <c r="Z731" s="88"/>
    </row>
    <row r="732" spans="26:26" x14ac:dyDescent="0.25">
      <c r="Z732" s="88"/>
    </row>
    <row r="733" spans="26:26" x14ac:dyDescent="0.25">
      <c r="Z733" s="88"/>
    </row>
    <row r="734" spans="26:26" x14ac:dyDescent="0.25">
      <c r="Z734" s="88"/>
    </row>
    <row r="735" spans="26:26" x14ac:dyDescent="0.25">
      <c r="Z735" s="88"/>
    </row>
    <row r="736" spans="26:26" x14ac:dyDescent="0.25">
      <c r="Z736" s="88"/>
    </row>
    <row r="737" spans="26:26" x14ac:dyDescent="0.25">
      <c r="Z737" s="88"/>
    </row>
    <row r="738" spans="26:26" x14ac:dyDescent="0.25">
      <c r="Z738" s="88"/>
    </row>
    <row r="739" spans="26:26" x14ac:dyDescent="0.25">
      <c r="Z739" s="88"/>
    </row>
    <row r="740" spans="26:26" x14ac:dyDescent="0.25">
      <c r="Z740" s="88"/>
    </row>
    <row r="741" spans="26:26" x14ac:dyDescent="0.25">
      <c r="Z741" s="88"/>
    </row>
    <row r="742" spans="26:26" x14ac:dyDescent="0.25">
      <c r="Z742" s="88"/>
    </row>
    <row r="743" spans="26:26" x14ac:dyDescent="0.25">
      <c r="Z743" s="88"/>
    </row>
    <row r="744" spans="26:26" x14ac:dyDescent="0.25">
      <c r="Z744" s="88"/>
    </row>
    <row r="745" spans="26:26" x14ac:dyDescent="0.25">
      <c r="Z745" s="88"/>
    </row>
    <row r="746" spans="26:26" x14ac:dyDescent="0.25">
      <c r="Z746" s="88"/>
    </row>
    <row r="747" spans="26:26" x14ac:dyDescent="0.25">
      <c r="Z747" s="88"/>
    </row>
    <row r="748" spans="26:26" x14ac:dyDescent="0.25">
      <c r="Z748" s="88"/>
    </row>
    <row r="749" spans="26:26" x14ac:dyDescent="0.25">
      <c r="Z749" s="88"/>
    </row>
    <row r="750" spans="26:26" x14ac:dyDescent="0.25">
      <c r="Z750" s="88"/>
    </row>
    <row r="751" spans="26:26" x14ac:dyDescent="0.25">
      <c r="Z751" s="88"/>
    </row>
    <row r="752" spans="26:26" x14ac:dyDescent="0.25">
      <c r="Z752" s="88"/>
    </row>
    <row r="753" spans="26:26" x14ac:dyDescent="0.25">
      <c r="Z753" s="88"/>
    </row>
    <row r="754" spans="26:26" x14ac:dyDescent="0.25">
      <c r="Z754" s="88"/>
    </row>
    <row r="755" spans="26:26" x14ac:dyDescent="0.25">
      <c r="Z755" s="88"/>
    </row>
    <row r="756" spans="26:26" x14ac:dyDescent="0.25">
      <c r="Z756" s="88"/>
    </row>
    <row r="757" spans="26:26" x14ac:dyDescent="0.25">
      <c r="Z757" s="88"/>
    </row>
    <row r="758" spans="26:26" x14ac:dyDescent="0.25">
      <c r="Z758" s="88"/>
    </row>
    <row r="759" spans="26:26" x14ac:dyDescent="0.25">
      <c r="Z759" s="88"/>
    </row>
    <row r="760" spans="26:26" x14ac:dyDescent="0.25">
      <c r="Z760" s="88"/>
    </row>
    <row r="761" spans="26:26" x14ac:dyDescent="0.25">
      <c r="Z761" s="88"/>
    </row>
    <row r="762" spans="26:26" x14ac:dyDescent="0.25">
      <c r="Z762" s="88"/>
    </row>
    <row r="763" spans="26:26" x14ac:dyDescent="0.25">
      <c r="Z763" s="88"/>
    </row>
    <row r="764" spans="26:26" x14ac:dyDescent="0.25">
      <c r="Z764" s="88"/>
    </row>
    <row r="765" spans="26:26" x14ac:dyDescent="0.25">
      <c r="Z765" s="88"/>
    </row>
    <row r="766" spans="26:26" x14ac:dyDescent="0.25">
      <c r="Z766" s="88"/>
    </row>
    <row r="767" spans="26:26" x14ac:dyDescent="0.25">
      <c r="Z767" s="88"/>
    </row>
    <row r="768" spans="26:26" x14ac:dyDescent="0.25">
      <c r="Z768" s="88"/>
    </row>
    <row r="769" spans="26:26" x14ac:dyDescent="0.25">
      <c r="Z769" s="88"/>
    </row>
    <row r="770" spans="26:26" x14ac:dyDescent="0.25">
      <c r="Z770" s="88"/>
    </row>
    <row r="771" spans="26:26" x14ac:dyDescent="0.25">
      <c r="Z771" s="88"/>
    </row>
    <row r="772" spans="26:26" x14ac:dyDescent="0.25">
      <c r="Z772" s="88"/>
    </row>
    <row r="773" spans="26:26" x14ac:dyDescent="0.25">
      <c r="Z773" s="88"/>
    </row>
    <row r="774" spans="26:26" x14ac:dyDescent="0.25">
      <c r="Z774" s="88"/>
    </row>
    <row r="775" spans="26:26" x14ac:dyDescent="0.25">
      <c r="Z775" s="88"/>
    </row>
    <row r="776" spans="26:26" x14ac:dyDescent="0.25">
      <c r="Z776" s="88"/>
    </row>
    <row r="777" spans="26:26" x14ac:dyDescent="0.25">
      <c r="Z777" s="88"/>
    </row>
    <row r="778" spans="26:26" x14ac:dyDescent="0.25">
      <c r="Z778" s="88"/>
    </row>
    <row r="779" spans="26:26" x14ac:dyDescent="0.25">
      <c r="Z779" s="88"/>
    </row>
    <row r="780" spans="26:26" x14ac:dyDescent="0.25">
      <c r="Z780" s="88"/>
    </row>
    <row r="781" spans="26:26" x14ac:dyDescent="0.25">
      <c r="Z781" s="88"/>
    </row>
    <row r="782" spans="26:26" x14ac:dyDescent="0.25">
      <c r="Z782" s="88"/>
    </row>
    <row r="783" spans="26:26" x14ac:dyDescent="0.25">
      <c r="Z783" s="88"/>
    </row>
    <row r="784" spans="26:26" x14ac:dyDescent="0.25">
      <c r="Z784" s="88"/>
    </row>
    <row r="785" spans="26:26" x14ac:dyDescent="0.25">
      <c r="Z785" s="88"/>
    </row>
    <row r="786" spans="26:26" x14ac:dyDescent="0.25">
      <c r="Z786" s="88"/>
    </row>
    <row r="787" spans="26:26" x14ac:dyDescent="0.25">
      <c r="Z787" s="88"/>
    </row>
    <row r="788" spans="26:26" x14ac:dyDescent="0.25">
      <c r="Z788" s="88"/>
    </row>
    <row r="789" spans="26:26" x14ac:dyDescent="0.25">
      <c r="Z789" s="88"/>
    </row>
    <row r="790" spans="26:26" x14ac:dyDescent="0.25">
      <c r="Z790" s="88"/>
    </row>
    <row r="791" spans="26:26" x14ac:dyDescent="0.25">
      <c r="Z791" s="88"/>
    </row>
    <row r="792" spans="26:26" x14ac:dyDescent="0.25">
      <c r="Z792" s="88"/>
    </row>
    <row r="793" spans="26:26" x14ac:dyDescent="0.25">
      <c r="Z793" s="88"/>
    </row>
    <row r="794" spans="26:26" x14ac:dyDescent="0.25">
      <c r="Z794" s="88"/>
    </row>
    <row r="795" spans="26:26" x14ac:dyDescent="0.25">
      <c r="Z795" s="88"/>
    </row>
    <row r="796" spans="26:26" x14ac:dyDescent="0.25">
      <c r="Z796" s="88"/>
    </row>
    <row r="797" spans="26:26" x14ac:dyDescent="0.25">
      <c r="Z797" s="88"/>
    </row>
    <row r="798" spans="26:26" x14ac:dyDescent="0.25">
      <c r="Z798" s="88"/>
    </row>
    <row r="799" spans="26:26" x14ac:dyDescent="0.25">
      <c r="Z799" s="88"/>
    </row>
    <row r="800" spans="26:26" x14ac:dyDescent="0.25">
      <c r="Z800" s="88"/>
    </row>
    <row r="801" spans="26:26" x14ac:dyDescent="0.25">
      <c r="Z801" s="88"/>
    </row>
    <row r="802" spans="26:26" x14ac:dyDescent="0.25">
      <c r="Z802" s="88"/>
    </row>
    <row r="803" spans="26:26" x14ac:dyDescent="0.25">
      <c r="Z803" s="88"/>
    </row>
    <row r="804" spans="26:26" x14ac:dyDescent="0.25">
      <c r="Z804" s="88"/>
    </row>
    <row r="805" spans="26:26" x14ac:dyDescent="0.25">
      <c r="Z805" s="88"/>
    </row>
    <row r="806" spans="26:26" x14ac:dyDescent="0.25">
      <c r="Z806" s="88"/>
    </row>
    <row r="807" spans="26:26" x14ac:dyDescent="0.25">
      <c r="Z807" s="88"/>
    </row>
    <row r="808" spans="26:26" x14ac:dyDescent="0.25">
      <c r="Z808" s="88"/>
    </row>
    <row r="809" spans="26:26" x14ac:dyDescent="0.25">
      <c r="Z809" s="88"/>
    </row>
    <row r="810" spans="26:26" x14ac:dyDescent="0.25">
      <c r="Z810" s="88"/>
    </row>
    <row r="811" spans="26:26" x14ac:dyDescent="0.25">
      <c r="Z811" s="88"/>
    </row>
    <row r="812" spans="26:26" x14ac:dyDescent="0.25">
      <c r="Z812" s="88"/>
    </row>
    <row r="813" spans="26:26" x14ac:dyDescent="0.25">
      <c r="Z813" s="88"/>
    </row>
    <row r="814" spans="26:26" x14ac:dyDescent="0.25">
      <c r="Z814" s="88"/>
    </row>
    <row r="815" spans="26:26" x14ac:dyDescent="0.25">
      <c r="Z815" s="88"/>
    </row>
    <row r="816" spans="26:26" x14ac:dyDescent="0.25">
      <c r="Z816" s="88"/>
    </row>
    <row r="817" spans="26:26" x14ac:dyDescent="0.25">
      <c r="Z817" s="88"/>
    </row>
    <row r="818" spans="26:26" x14ac:dyDescent="0.25">
      <c r="Z818" s="88"/>
    </row>
    <row r="819" spans="26:26" x14ac:dyDescent="0.25">
      <c r="Z819" s="88"/>
    </row>
    <row r="820" spans="26:26" x14ac:dyDescent="0.25">
      <c r="Z820" s="88"/>
    </row>
    <row r="821" spans="26:26" x14ac:dyDescent="0.25">
      <c r="Z821" s="88"/>
    </row>
    <row r="822" spans="26:26" x14ac:dyDescent="0.25">
      <c r="Z822" s="88"/>
    </row>
    <row r="823" spans="26:26" x14ac:dyDescent="0.25">
      <c r="Z823" s="88"/>
    </row>
    <row r="824" spans="26:26" x14ac:dyDescent="0.25">
      <c r="Z824" s="88"/>
    </row>
    <row r="825" spans="26:26" x14ac:dyDescent="0.25">
      <c r="Z825" s="88"/>
    </row>
    <row r="826" spans="26:26" x14ac:dyDescent="0.25">
      <c r="Z826" s="88"/>
    </row>
    <row r="827" spans="26:26" x14ac:dyDescent="0.25">
      <c r="Z827" s="88"/>
    </row>
    <row r="828" spans="26:26" x14ac:dyDescent="0.25">
      <c r="Z828" s="88"/>
    </row>
    <row r="829" spans="26:26" x14ac:dyDescent="0.25">
      <c r="Z829" s="88"/>
    </row>
    <row r="830" spans="26:26" x14ac:dyDescent="0.25">
      <c r="Z830" s="88"/>
    </row>
    <row r="831" spans="26:26" x14ac:dyDescent="0.25">
      <c r="Z831" s="88"/>
    </row>
    <row r="832" spans="26:26" x14ac:dyDescent="0.25">
      <c r="Z832" s="88"/>
    </row>
    <row r="833" spans="26:26" x14ac:dyDescent="0.25">
      <c r="Z833" s="88"/>
    </row>
    <row r="834" spans="26:26" x14ac:dyDescent="0.25">
      <c r="Z834" s="88"/>
    </row>
    <row r="835" spans="26:26" x14ac:dyDescent="0.25">
      <c r="Z835" s="88"/>
    </row>
    <row r="836" spans="26:26" x14ac:dyDescent="0.25">
      <c r="Z836" s="88"/>
    </row>
    <row r="837" spans="26:26" x14ac:dyDescent="0.25">
      <c r="Z837" s="88"/>
    </row>
    <row r="838" spans="26:26" x14ac:dyDescent="0.25">
      <c r="Z838" s="88"/>
    </row>
    <row r="839" spans="26:26" x14ac:dyDescent="0.25">
      <c r="Z839" s="88"/>
    </row>
    <row r="840" spans="26:26" x14ac:dyDescent="0.25">
      <c r="Z840" s="88"/>
    </row>
    <row r="841" spans="26:26" x14ac:dyDescent="0.25">
      <c r="Z841" s="88"/>
    </row>
    <row r="842" spans="26:26" x14ac:dyDescent="0.25">
      <c r="Z842" s="88"/>
    </row>
    <row r="843" spans="26:26" x14ac:dyDescent="0.25">
      <c r="Z843" s="88"/>
    </row>
    <row r="844" spans="26:26" x14ac:dyDescent="0.25">
      <c r="Z844" s="88"/>
    </row>
    <row r="845" spans="26:26" x14ac:dyDescent="0.25">
      <c r="Z845" s="88"/>
    </row>
    <row r="846" spans="26:26" x14ac:dyDescent="0.25">
      <c r="Z846" s="88"/>
    </row>
    <row r="847" spans="26:26" x14ac:dyDescent="0.25">
      <c r="Z847" s="88"/>
    </row>
    <row r="848" spans="26:26" x14ac:dyDescent="0.25">
      <c r="Z848" s="88"/>
    </row>
    <row r="849" spans="26:26" x14ac:dyDescent="0.25">
      <c r="Z849" s="88"/>
    </row>
    <row r="850" spans="26:26" x14ac:dyDescent="0.25">
      <c r="Z850" s="88"/>
    </row>
    <row r="851" spans="26:26" x14ac:dyDescent="0.25">
      <c r="Z851" s="88"/>
    </row>
    <row r="852" spans="26:26" x14ac:dyDescent="0.25">
      <c r="Z852" s="88"/>
    </row>
    <row r="853" spans="26:26" x14ac:dyDescent="0.25">
      <c r="Z853" s="88"/>
    </row>
    <row r="854" spans="26:26" x14ac:dyDescent="0.25">
      <c r="Z854" s="88"/>
    </row>
    <row r="855" spans="26:26" x14ac:dyDescent="0.25">
      <c r="Z855" s="88"/>
    </row>
    <row r="856" spans="26:26" x14ac:dyDescent="0.25">
      <c r="Z856" s="88"/>
    </row>
    <row r="857" spans="26:26" x14ac:dyDescent="0.25">
      <c r="Z857" s="88"/>
    </row>
    <row r="858" spans="26:26" x14ac:dyDescent="0.25">
      <c r="Z858" s="88"/>
    </row>
    <row r="859" spans="26:26" x14ac:dyDescent="0.25">
      <c r="Z859" s="88"/>
    </row>
    <row r="860" spans="26:26" x14ac:dyDescent="0.25">
      <c r="Z860" s="88"/>
    </row>
    <row r="861" spans="26:26" x14ac:dyDescent="0.25">
      <c r="Z861" s="88"/>
    </row>
    <row r="862" spans="26:26" x14ac:dyDescent="0.25">
      <c r="Z862" s="88"/>
    </row>
    <row r="863" spans="26:26" x14ac:dyDescent="0.25">
      <c r="Z863" s="88"/>
    </row>
    <row r="864" spans="26:26" x14ac:dyDescent="0.25">
      <c r="Z864" s="88"/>
    </row>
    <row r="865" spans="26:26" x14ac:dyDescent="0.25">
      <c r="Z865" s="88"/>
    </row>
    <row r="866" spans="26:26" x14ac:dyDescent="0.25">
      <c r="Z866" s="88"/>
    </row>
    <row r="867" spans="26:26" x14ac:dyDescent="0.25">
      <c r="Z867" s="88"/>
    </row>
    <row r="868" spans="26:26" x14ac:dyDescent="0.25">
      <c r="Z868" s="88"/>
    </row>
    <row r="869" spans="26:26" x14ac:dyDescent="0.25">
      <c r="Z869" s="88"/>
    </row>
    <row r="870" spans="26:26" x14ac:dyDescent="0.25">
      <c r="Z870" s="88"/>
    </row>
    <row r="871" spans="26:26" x14ac:dyDescent="0.25">
      <c r="Z871" s="88"/>
    </row>
    <row r="872" spans="26:26" x14ac:dyDescent="0.25">
      <c r="Z872" s="88"/>
    </row>
    <row r="873" spans="26:26" x14ac:dyDescent="0.25">
      <c r="Z873" s="88"/>
    </row>
    <row r="874" spans="26:26" x14ac:dyDescent="0.25">
      <c r="Z874" s="88"/>
    </row>
    <row r="875" spans="26:26" x14ac:dyDescent="0.25">
      <c r="Z875" s="88"/>
    </row>
    <row r="876" spans="26:26" x14ac:dyDescent="0.25">
      <c r="Z876" s="88"/>
    </row>
    <row r="877" spans="26:26" x14ac:dyDescent="0.25">
      <c r="Z877" s="88"/>
    </row>
    <row r="878" spans="26:26" x14ac:dyDescent="0.25">
      <c r="Z878" s="88"/>
    </row>
    <row r="879" spans="26:26" x14ac:dyDescent="0.25">
      <c r="Z879" s="88"/>
    </row>
    <row r="880" spans="26:26" x14ac:dyDescent="0.25">
      <c r="Z880" s="88"/>
    </row>
    <row r="881" spans="26:26" x14ac:dyDescent="0.25">
      <c r="Z881" s="88"/>
    </row>
    <row r="882" spans="26:26" x14ac:dyDescent="0.25">
      <c r="Z882" s="88"/>
    </row>
    <row r="883" spans="26:26" x14ac:dyDescent="0.25">
      <c r="Z883" s="88"/>
    </row>
    <row r="884" spans="26:26" x14ac:dyDescent="0.25">
      <c r="Z884" s="88"/>
    </row>
    <row r="885" spans="26:26" x14ac:dyDescent="0.25">
      <c r="Z885" s="88"/>
    </row>
    <row r="886" spans="26:26" x14ac:dyDescent="0.25">
      <c r="Z886" s="88"/>
    </row>
    <row r="887" spans="26:26" x14ac:dyDescent="0.25">
      <c r="Z887" s="88"/>
    </row>
    <row r="888" spans="26:26" x14ac:dyDescent="0.25">
      <c r="Z888" s="88"/>
    </row>
    <row r="889" spans="26:26" x14ac:dyDescent="0.25">
      <c r="Z889" s="88"/>
    </row>
    <row r="890" spans="26:26" x14ac:dyDescent="0.25">
      <c r="Z890" s="88"/>
    </row>
    <row r="891" spans="26:26" x14ac:dyDescent="0.25">
      <c r="Z891" s="88"/>
    </row>
    <row r="892" spans="26:26" x14ac:dyDescent="0.25">
      <c r="Z892" s="88"/>
    </row>
    <row r="893" spans="26:26" x14ac:dyDescent="0.25">
      <c r="Z893" s="88"/>
    </row>
    <row r="894" spans="26:26" x14ac:dyDescent="0.25">
      <c r="Z894" s="88"/>
    </row>
    <row r="895" spans="26:26" x14ac:dyDescent="0.25">
      <c r="Z895" s="88"/>
    </row>
    <row r="896" spans="26:26" x14ac:dyDescent="0.25">
      <c r="Z896" s="88"/>
    </row>
    <row r="897" spans="26:26" x14ac:dyDescent="0.25">
      <c r="Z897" s="88"/>
    </row>
    <row r="898" spans="26:26" x14ac:dyDescent="0.25">
      <c r="Z898" s="88"/>
    </row>
    <row r="899" spans="26:26" x14ac:dyDescent="0.25">
      <c r="Z899" s="88"/>
    </row>
    <row r="900" spans="26:26" x14ac:dyDescent="0.25">
      <c r="Z900" s="88"/>
    </row>
    <row r="901" spans="26:26" x14ac:dyDescent="0.25">
      <c r="Z901" s="88"/>
    </row>
    <row r="902" spans="26:26" x14ac:dyDescent="0.25">
      <c r="Z902" s="88"/>
    </row>
    <row r="903" spans="26:26" x14ac:dyDescent="0.25">
      <c r="Z903" s="88"/>
    </row>
    <row r="904" spans="26:26" x14ac:dyDescent="0.25">
      <c r="Z904" s="88"/>
    </row>
    <row r="905" spans="26:26" x14ac:dyDescent="0.25">
      <c r="Z905" s="88"/>
    </row>
    <row r="906" spans="26:26" x14ac:dyDescent="0.25">
      <c r="Z906" s="88"/>
    </row>
    <row r="907" spans="26:26" x14ac:dyDescent="0.25">
      <c r="Z907" s="88"/>
    </row>
    <row r="908" spans="26:26" x14ac:dyDescent="0.25">
      <c r="Z908" s="88"/>
    </row>
    <row r="909" spans="26:26" x14ac:dyDescent="0.25">
      <c r="Z909" s="88"/>
    </row>
    <row r="910" spans="26:26" x14ac:dyDescent="0.25">
      <c r="Z910" s="88"/>
    </row>
    <row r="911" spans="26:26" x14ac:dyDescent="0.25">
      <c r="Z911" s="88"/>
    </row>
    <row r="912" spans="26:26" x14ac:dyDescent="0.25">
      <c r="Z912" s="88"/>
    </row>
    <row r="913" spans="26:26" x14ac:dyDescent="0.25">
      <c r="Z913" s="88"/>
    </row>
    <row r="914" spans="26:26" x14ac:dyDescent="0.25">
      <c r="Z914" s="88"/>
    </row>
    <row r="915" spans="26:26" x14ac:dyDescent="0.25">
      <c r="Z915" s="88"/>
    </row>
    <row r="916" spans="26:26" x14ac:dyDescent="0.25">
      <c r="Z916" s="88"/>
    </row>
    <row r="917" spans="26:26" x14ac:dyDescent="0.25">
      <c r="Z917" s="88"/>
    </row>
    <row r="918" spans="26:26" x14ac:dyDescent="0.25">
      <c r="Z918" s="88"/>
    </row>
    <row r="919" spans="26:26" x14ac:dyDescent="0.25">
      <c r="Z919" s="88"/>
    </row>
    <row r="920" spans="26:26" x14ac:dyDescent="0.25">
      <c r="Z920" s="88"/>
    </row>
    <row r="921" spans="26:26" x14ac:dyDescent="0.25">
      <c r="Z921" s="88"/>
    </row>
    <row r="922" spans="26:26" x14ac:dyDescent="0.25">
      <c r="Z922" s="88"/>
    </row>
    <row r="923" spans="26:26" x14ac:dyDescent="0.25">
      <c r="Z923" s="88"/>
    </row>
    <row r="924" spans="26:26" x14ac:dyDescent="0.25">
      <c r="Z924" s="88"/>
    </row>
    <row r="925" spans="26:26" x14ac:dyDescent="0.25">
      <c r="Z925" s="88"/>
    </row>
    <row r="926" spans="26:26" x14ac:dyDescent="0.25">
      <c r="Z926" s="88"/>
    </row>
    <row r="927" spans="26:26" x14ac:dyDescent="0.25">
      <c r="Z927" s="88"/>
    </row>
    <row r="928" spans="26:26" x14ac:dyDescent="0.25">
      <c r="Z928" s="88"/>
    </row>
    <row r="929" spans="26:26" x14ac:dyDescent="0.25">
      <c r="Z929" s="88"/>
    </row>
    <row r="930" spans="26:26" x14ac:dyDescent="0.25">
      <c r="Z930" s="88"/>
    </row>
    <row r="931" spans="26:26" x14ac:dyDescent="0.25">
      <c r="Z931" s="88"/>
    </row>
    <row r="932" spans="26:26" x14ac:dyDescent="0.25">
      <c r="Z932" s="88"/>
    </row>
    <row r="933" spans="26:26" x14ac:dyDescent="0.25">
      <c r="Z933" s="88"/>
    </row>
    <row r="934" spans="26:26" x14ac:dyDescent="0.25">
      <c r="Z934" s="88"/>
    </row>
    <row r="935" spans="26:26" x14ac:dyDescent="0.25">
      <c r="Z935" s="88"/>
    </row>
    <row r="936" spans="26:26" x14ac:dyDescent="0.25">
      <c r="Z936" s="88"/>
    </row>
    <row r="937" spans="26:26" x14ac:dyDescent="0.25">
      <c r="Z937" s="88"/>
    </row>
    <row r="938" spans="26:26" x14ac:dyDescent="0.25">
      <c r="Z938" s="88"/>
    </row>
    <row r="939" spans="26:26" x14ac:dyDescent="0.25">
      <c r="Z939" s="88"/>
    </row>
    <row r="940" spans="26:26" x14ac:dyDescent="0.25">
      <c r="Z940" s="88"/>
    </row>
    <row r="941" spans="26:26" x14ac:dyDescent="0.25">
      <c r="Z941" s="88"/>
    </row>
    <row r="942" spans="26:26" x14ac:dyDescent="0.25">
      <c r="Z942" s="88"/>
    </row>
    <row r="943" spans="26:26" x14ac:dyDescent="0.25">
      <c r="Z943" s="88"/>
    </row>
    <row r="944" spans="26:26" x14ac:dyDescent="0.25">
      <c r="Z944" s="88"/>
    </row>
    <row r="945" spans="26:26" x14ac:dyDescent="0.25">
      <c r="Z945" s="88"/>
    </row>
    <row r="946" spans="26:26" x14ac:dyDescent="0.25">
      <c r="Z946" s="88"/>
    </row>
    <row r="947" spans="26:26" x14ac:dyDescent="0.25">
      <c r="Z947" s="88"/>
    </row>
    <row r="948" spans="26:26" x14ac:dyDescent="0.25">
      <c r="Z948" s="88"/>
    </row>
    <row r="949" spans="26:26" x14ac:dyDescent="0.25">
      <c r="Z949" s="88"/>
    </row>
    <row r="950" spans="26:26" x14ac:dyDescent="0.25">
      <c r="Z950" s="88"/>
    </row>
    <row r="951" spans="26:26" x14ac:dyDescent="0.25">
      <c r="Z951" s="88"/>
    </row>
    <row r="952" spans="26:26" x14ac:dyDescent="0.25">
      <c r="Z952" s="88"/>
    </row>
    <row r="953" spans="26:26" x14ac:dyDescent="0.25">
      <c r="Z953" s="88"/>
    </row>
    <row r="954" spans="26:26" x14ac:dyDescent="0.25">
      <c r="Z954" s="88"/>
    </row>
    <row r="955" spans="26:26" x14ac:dyDescent="0.25">
      <c r="Z955" s="88"/>
    </row>
    <row r="956" spans="26:26" x14ac:dyDescent="0.25">
      <c r="Z956" s="88"/>
    </row>
    <row r="957" spans="26:26" x14ac:dyDescent="0.25">
      <c r="Z957" s="88"/>
    </row>
    <row r="958" spans="26:26" x14ac:dyDescent="0.25">
      <c r="Z958" s="88"/>
    </row>
    <row r="959" spans="26:26" x14ac:dyDescent="0.25">
      <c r="Z959" s="88"/>
    </row>
    <row r="960" spans="26:26" x14ac:dyDescent="0.25">
      <c r="Z960" s="88"/>
    </row>
    <row r="961" spans="26:26" x14ac:dyDescent="0.25">
      <c r="Z961" s="88"/>
    </row>
    <row r="962" spans="26:26" x14ac:dyDescent="0.25">
      <c r="Z962" s="88"/>
    </row>
    <row r="963" spans="26:26" x14ac:dyDescent="0.25">
      <c r="Z963" s="88"/>
    </row>
    <row r="964" spans="26:26" x14ac:dyDescent="0.25">
      <c r="Z964" s="88"/>
    </row>
    <row r="965" spans="26:26" x14ac:dyDescent="0.25">
      <c r="Z965" s="88"/>
    </row>
    <row r="966" spans="26:26" x14ac:dyDescent="0.25">
      <c r="Z966" s="88"/>
    </row>
    <row r="967" spans="26:26" x14ac:dyDescent="0.25">
      <c r="Z967" s="88"/>
    </row>
    <row r="968" spans="26:26" x14ac:dyDescent="0.25">
      <c r="Z968" s="88"/>
    </row>
    <row r="969" spans="26:26" x14ac:dyDescent="0.25">
      <c r="Z969" s="88"/>
    </row>
    <row r="970" spans="26:26" x14ac:dyDescent="0.25">
      <c r="Z970" s="88"/>
    </row>
    <row r="971" spans="26:26" x14ac:dyDescent="0.25">
      <c r="Z971" s="88"/>
    </row>
    <row r="972" spans="26:26" x14ac:dyDescent="0.25">
      <c r="Z972" s="88"/>
    </row>
    <row r="973" spans="26:26" x14ac:dyDescent="0.25">
      <c r="Z973" s="88"/>
    </row>
    <row r="974" spans="26:26" x14ac:dyDescent="0.25">
      <c r="Z974" s="88"/>
    </row>
    <row r="975" spans="26:26" x14ac:dyDescent="0.25">
      <c r="Z975" s="88"/>
    </row>
    <row r="976" spans="26:26" x14ac:dyDescent="0.25">
      <c r="Z976" s="88"/>
    </row>
    <row r="977" spans="26:26" x14ac:dyDescent="0.25">
      <c r="Z977" s="88"/>
    </row>
    <row r="978" spans="26:26" x14ac:dyDescent="0.25">
      <c r="Z978" s="88"/>
    </row>
    <row r="979" spans="26:26" x14ac:dyDescent="0.25">
      <c r="Z979" s="88"/>
    </row>
    <row r="980" spans="26:26" x14ac:dyDescent="0.25">
      <c r="Z980" s="88"/>
    </row>
    <row r="981" spans="26:26" x14ac:dyDescent="0.25">
      <c r="Z981" s="88"/>
    </row>
    <row r="982" spans="26:26" x14ac:dyDescent="0.25">
      <c r="Z982" s="88"/>
    </row>
    <row r="983" spans="26:26" x14ac:dyDescent="0.25">
      <c r="Z983" s="88"/>
    </row>
    <row r="984" spans="26:26" x14ac:dyDescent="0.25">
      <c r="Z984" s="88"/>
    </row>
    <row r="985" spans="26:26" x14ac:dyDescent="0.25">
      <c r="Z985" s="88"/>
    </row>
    <row r="986" spans="26:26" x14ac:dyDescent="0.25">
      <c r="Z986" s="88"/>
    </row>
    <row r="987" spans="26:26" x14ac:dyDescent="0.25">
      <c r="Z987" s="88"/>
    </row>
    <row r="988" spans="26:26" x14ac:dyDescent="0.25">
      <c r="Z988" s="88"/>
    </row>
    <row r="989" spans="26:26" x14ac:dyDescent="0.25">
      <c r="Z989" s="88"/>
    </row>
    <row r="990" spans="26:26" x14ac:dyDescent="0.25">
      <c r="Z990" s="88"/>
    </row>
    <row r="991" spans="26:26" x14ac:dyDescent="0.25">
      <c r="Z991" s="88"/>
    </row>
    <row r="992" spans="26:26" x14ac:dyDescent="0.25">
      <c r="Z992" s="88"/>
    </row>
    <row r="993" spans="26:26" x14ac:dyDescent="0.25">
      <c r="Z993" s="88"/>
    </row>
    <row r="994" spans="26:26" x14ac:dyDescent="0.25">
      <c r="Z994" s="88"/>
    </row>
    <row r="995" spans="26:26" x14ac:dyDescent="0.25">
      <c r="Z995" s="88"/>
    </row>
    <row r="996" spans="26:26" x14ac:dyDescent="0.25">
      <c r="Z996" s="88"/>
    </row>
    <row r="997" spans="26:26" x14ac:dyDescent="0.25">
      <c r="Z997" s="88"/>
    </row>
    <row r="998" spans="26:26" x14ac:dyDescent="0.25">
      <c r="Z998" s="88"/>
    </row>
    <row r="999" spans="26:26" x14ac:dyDescent="0.25">
      <c r="Z999" s="88"/>
    </row>
    <row r="1000" spans="26:26" x14ac:dyDescent="0.25">
      <c r="Z1000" s="8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31</vt:i4>
      </vt:variant>
    </vt:vector>
  </HeadingPairs>
  <TitlesOfParts>
    <vt:vector size="38" baseType="lpstr">
      <vt:lpstr>INF_INICIAL</vt:lpstr>
      <vt:lpstr>LISTADO_NOM</vt:lpstr>
      <vt:lpstr>ANALISIS_EPIDEM</vt:lpstr>
      <vt:lpstr>INFORME_NARRATIVO</vt:lpstr>
      <vt:lpstr>GEORREFERENCIA</vt:lpstr>
      <vt:lpstr>Base_datos</vt:lpstr>
      <vt:lpstr>VARIABLES</vt:lpstr>
      <vt:lpstr>AÑO</vt:lpstr>
      <vt:lpstr>INF_INICIAL!Área_de_impresión</vt:lpstr>
      <vt:lpstr>LISTADO_NOM!Área_de_impresión</vt:lpstr>
      <vt:lpstr>DIA</vt:lpstr>
      <vt:lpstr>Edad</vt:lpstr>
      <vt:lpstr>EDAD_</vt:lpstr>
      <vt:lpstr>FECHA_</vt:lpstr>
      <vt:lpstr>FECHA_INIC</vt:lpstr>
      <vt:lpstr>FECHA_INICIO</vt:lpstr>
      <vt:lpstr>FUENTE</vt:lpstr>
      <vt:lpstr>GRAFICO</vt:lpstr>
      <vt:lpstr>INSTITUCION</vt:lpstr>
      <vt:lpstr>JURIS_</vt:lpstr>
      <vt:lpstr>JURISDICCION</vt:lpstr>
      <vt:lpstr>LUGAR</vt:lpstr>
      <vt:lpstr>MES</vt:lpstr>
      <vt:lpstr>MUNICIPIO</vt:lpstr>
      <vt:lpstr>NOTIFICACION</vt:lpstr>
      <vt:lpstr>NOTIFICACIÓN</vt:lpstr>
      <vt:lpstr>NOTIFICACION_</vt:lpstr>
      <vt:lpstr>ORDENA_</vt:lpstr>
      <vt:lpstr>seguimient</vt:lpstr>
      <vt:lpstr>SEGUIMIENTOS</vt:lpstr>
      <vt:lpstr>Sexo_LN</vt:lpstr>
      <vt:lpstr>SINT_1</vt:lpstr>
      <vt:lpstr>SINT_2</vt:lpstr>
      <vt:lpstr>SINT_3</vt:lpstr>
      <vt:lpstr>SINT_4</vt:lpstr>
      <vt:lpstr>SINT_5</vt:lpstr>
      <vt:lpstr>TIPO_BROTE</vt:lpstr>
      <vt:lpstr>VALORES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Vladimir</dc:creator>
  <cp:lastModifiedBy>UEyD</cp:lastModifiedBy>
  <cp:lastPrinted>2018-01-31T19:04:59Z</cp:lastPrinted>
  <dcterms:created xsi:type="dcterms:W3CDTF">2015-04-10T18:51:17Z</dcterms:created>
  <dcterms:modified xsi:type="dcterms:W3CDTF">2025-01-05T19:14:56Z</dcterms:modified>
</cp:coreProperties>
</file>